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ssumptions" sheetId="1" state="visible" r:id="rId1"/>
    <sheet name="2. Landed Cost Impact" sheetId="2" state="visible" r:id="rId2"/>
    <sheet name="3. Revenue Scenario" sheetId="3" state="visible" r:id="rId3"/>
    <sheet name="4. Margin Bridge" sheetId="4" state="visible" r:id="rId4"/>
    <sheet name="5. Mitigation Le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$#,##0.00;($#,##0.00);&quot;-&quot;"/>
    <numFmt numFmtId="166" formatCode="$#,##0;($#,##0);&quot;-&quot;"/>
    <numFmt numFmtId="167" formatCode="0.0%;(0.0%);&quot;-&quot;"/>
    <numFmt numFmtId="168" formatCode="+0.0%;-0.0%;0.0%"/>
    <numFmt numFmtId="169" formatCode="0.0"/>
    <numFmt numFmtId="170" formatCode="0.000x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i val="1"/>
      <color rgb="00000000"/>
      <sz val="10"/>
    </font>
    <font>
      <name val="Arial"/>
      <i val="1"/>
      <color rgb="00595959"/>
      <sz val="8"/>
    </font>
    <font>
      <name val="Arial"/>
      <b val="1"/>
      <i val="1"/>
      <color rgb="00000000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i val="1"/>
      <color rgb="00000000"/>
      <sz val="9"/>
    </font>
    <font>
      <name val="Arial"/>
      <color rgb="00595959"/>
      <sz val="8"/>
    </font>
    <font>
      <name val="Arial"/>
      <color rgb="00000000"/>
      <sz val="8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medium">
        <color rgb="001F3864"/>
      </bottom>
    </border>
    <border>
      <left/>
      <right/>
      <top/>
      <bottom style="medium">
        <color rgb="00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5" fillId="0" borderId="0" applyAlignment="1" pivotButton="0" quotePrefix="0" xfId="0">
      <alignment horizontal="center"/>
    </xf>
    <xf numFmtId="0" fontId="2" fillId="0" borderId="0" pivotButton="0" quotePrefix="0" xfId="0"/>
    <xf numFmtId="165" fontId="6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8" fontId="6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69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2" fontId="6" fillId="0" borderId="0" applyAlignment="1" pivotButton="0" quotePrefix="0" xfId="0">
      <alignment horizontal="center"/>
    </xf>
    <xf numFmtId="0" fontId="4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6" fontId="4" fillId="0" borderId="0" pivotButton="0" quotePrefix="0" xfId="0"/>
    <xf numFmtId="0" fontId="11" fillId="2" borderId="0" pivotButton="0" quotePrefix="0" xfId="0"/>
    <xf numFmtId="166" fontId="11" fillId="2" borderId="0" pivotButton="0" quotePrefix="0" xfId="0"/>
    <xf numFmtId="3" fontId="12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13" fillId="0" borderId="0" pivotButton="0" quotePrefix="0" xfId="0"/>
    <xf numFmtId="170" fontId="5" fillId="0" borderId="0" applyAlignment="1" pivotButton="0" quotePrefix="0" xfId="0">
      <alignment horizontal="center"/>
    </xf>
    <xf numFmtId="0" fontId="14" fillId="0" borderId="0" pivotButton="0" quotePrefix="0" xfId="0"/>
    <xf numFmtId="167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4" fillId="4" borderId="0" pivotButton="0" quotePrefix="0" xfId="0"/>
    <xf numFmtId="0" fontId="2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0" fontId="9" fillId="0" borderId="0" pivotButton="0" quotePrefix="0" xfId="0"/>
    <xf numFmtId="166" fontId="15" fillId="0" borderId="0" applyAlignment="1" pivotButton="0" quotePrefix="0" xfId="0">
      <alignment horizontal="center"/>
    </xf>
    <xf numFmtId="0" fontId="16" fillId="5" borderId="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6" fontId="12" fillId="0" borderId="0" pivotButton="0" quotePrefix="0" xfId="0"/>
    <xf numFmtId="2" fontId="12" fillId="0" borderId="0" pivotButton="0" quotePrefix="0" xfId="0"/>
    <xf numFmtId="167" fontId="6" fillId="5" borderId="3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dxfs count="6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0006"/>
      </font>
    </dxf>
    <dxf>
      <font>
        <name val="Arial"/>
        <b val="1"/>
        <color rgb="009C0006"/>
      </font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GP → Severe Scenario GP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'4. Margin Bridge'!D49</f>
            </strRef>
          </tx>
          <spPr>
            <a:noFill/>
            <a:ln>
              <a:noFill/>
              <a:prstDash val="solid"/>
            </a:ln>
          </spPr>
          <cat>
            <numRef>
              <f>'4. Margin Bridge'!$A$50:$A$55</f>
            </numRef>
          </cat>
          <val>
            <numRef>
              <f>'4. Margin Bridge'!$D$50:$D$55</f>
            </numRef>
          </val>
        </ser>
        <ser>
          <idx val="1"/>
          <order val="1"/>
          <tx>
            <strRef>
              <f>'4. Margin Bridge'!E49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'4. Margin Bridge'!$A$50:$A$55</f>
            </numRef>
          </cat>
          <val>
            <numRef>
              <f>'4. Margin Bridge'!$E$50:$E$55</f>
            </numRef>
          </val>
        </ser>
        <ser>
          <idx val="2"/>
          <order val="2"/>
          <tx>
            <strRef>
              <f>'4. Margin Bridge'!F49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'4. Margin Bridge'!$A$50:$A$55</f>
            </numRef>
          </cat>
          <val>
            <numRef>
              <f>'4. Margin Bridge'!$F$50:$F$55</f>
            </numRef>
          </val>
        </ser>
        <ser>
          <idx val="3"/>
          <order val="3"/>
          <tx>
            <strRef>
              <f>'4. Margin Bridge'!G49</f>
            </strRef>
          </tx>
          <spPr>
            <a:solidFill>
              <a:srgbClr val="2E5AAC"/>
            </a:solidFill>
            <a:ln>
              <a:prstDash val="solid"/>
            </a:ln>
          </spPr>
          <cat>
            <numRef>
              <f>'4. Margin Bridge'!$A$50:$A$55</f>
            </numRef>
          </cat>
          <val>
            <numRef>
              <f>'4. Margin Bridge'!$G$50:$G$55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AUD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42" customWidth="1" min="7" max="7"/>
  </cols>
  <sheetData>
    <row r="1" ht="24" customHeight="1">
      <c r="A1" s="1" t="inlineStr">
        <is>
          <t>Landed Cost &amp; Margin Scenario Model  —  Assumptions &amp; Drivers</t>
        </is>
      </c>
    </row>
    <row r="2" ht="26" customHeight="1">
      <c r="A2" s="2" t="inlineStr">
        <is>
          <t>Planning horizon: Sep 2026 – Jun 2027.  BLUE cells are inputs — edit them and every tab recalculates. Base / Moderate / Severe are downside stress cases (Base = mild pressure, Severe = worst case).</t>
        </is>
      </c>
    </row>
    <row r="4" ht="18" customHeight="1">
      <c r="A4" s="3" t="inlineStr">
        <is>
          <t>SCENARIO DRIVERS</t>
        </is>
      </c>
    </row>
    <row r="5" ht="28" customHeight="1">
      <c r="A5" s="4" t="inlineStr">
        <is>
          <t>Driver</t>
        </is>
      </c>
      <c r="B5" s="5" t="inlineStr">
        <is>
          <t>Plan</t>
        </is>
      </c>
      <c r="C5" s="5" t="inlineStr">
        <is>
          <t>Base</t>
        </is>
      </c>
      <c r="D5" s="5" t="inlineStr">
        <is>
          <t>Moderate</t>
        </is>
      </c>
      <c r="E5" s="5" t="inlineStr">
        <is>
          <t>Severe</t>
        </is>
      </c>
      <c r="F5" s="5" t="inlineStr">
        <is>
          <t>Unit</t>
        </is>
      </c>
      <c r="G5" s="5" t="inlineStr">
        <is>
          <t>Notes</t>
        </is>
      </c>
    </row>
    <row r="6">
      <c r="A6" s="6" t="inlineStr">
        <is>
          <t>AUD/USD spot rate</t>
        </is>
      </c>
      <c r="B6" s="7" t="n">
        <v>0.66</v>
      </c>
      <c r="C6" s="7" t="n">
        <v>0.655</v>
      </c>
      <c r="D6" s="7" t="n">
        <v>0.62</v>
      </c>
      <c r="E6" s="7" t="n">
        <v>0.58</v>
      </c>
      <c r="F6" s="8" t="inlineStr">
        <is>
          <t>USD per 1 AUD</t>
        </is>
      </c>
      <c r="G6" s="8" t="inlineStr">
        <is>
          <t>Lower = weaker AUD = dearer imports</t>
        </is>
      </c>
    </row>
    <row r="7">
      <c r="A7" s="9" t="inlineStr">
        <is>
          <t>AUD per USD  (= 1 / spot)</t>
        </is>
      </c>
      <c r="B7" s="10">
        <f>1/B6</f>
        <v/>
      </c>
      <c r="C7" s="10">
        <f>1/C6</f>
        <v/>
      </c>
      <c r="D7" s="10">
        <f>1/D6</f>
        <v/>
      </c>
      <c r="E7" s="10">
        <f>1/E6</f>
        <v/>
      </c>
      <c r="F7" s="8" t="inlineStr">
        <is>
          <t>AUD per 1 USD</t>
        </is>
      </c>
      <c r="G7" s="11" t="inlineStr">
        <is>
          <t>Derived. Every USD cost is multiplied by this.</t>
        </is>
      </c>
    </row>
    <row r="8">
      <c r="A8" s="6" t="inlineStr">
        <is>
          <t>Air freight rate</t>
        </is>
      </c>
      <c r="B8" s="12" t="n">
        <v>6</v>
      </c>
      <c r="C8" s="12" t="n">
        <v>6.2</v>
      </c>
      <c r="D8" s="12" t="n">
        <v>7.5</v>
      </c>
      <c r="E8" s="12" t="n">
        <v>9</v>
      </c>
      <c r="F8" s="8" t="inlineStr">
        <is>
          <t>USD per kg</t>
        </is>
      </c>
      <c r="G8" s="8" t="inlineStr">
        <is>
          <t>Spot air out of origin</t>
        </is>
      </c>
    </row>
    <row r="9">
      <c r="A9" s="6" t="inlineStr">
        <is>
          <t>Sea freight rate</t>
        </is>
      </c>
      <c r="B9" s="13" t="n">
        <v>180</v>
      </c>
      <c r="C9" s="13" t="n">
        <v>190</v>
      </c>
      <c r="D9" s="13" t="n">
        <v>260</v>
      </c>
      <c r="E9" s="13" t="n">
        <v>340</v>
      </c>
      <c r="F9" s="8" t="inlineStr">
        <is>
          <t>USD per CBM</t>
        </is>
      </c>
      <c r="G9" s="8" t="inlineStr">
        <is>
          <t>FCL-equivalent per cubic metre</t>
        </is>
      </c>
    </row>
    <row r="10">
      <c r="A10" s="6" t="inlineStr">
        <is>
          <t>Import duty</t>
        </is>
      </c>
      <c r="B10" s="14" t="n">
        <v>0.05</v>
      </c>
      <c r="C10" s="14" t="n">
        <v>0.05</v>
      </c>
      <c r="D10" s="14" t="n">
        <v>0.05</v>
      </c>
      <c r="E10" s="14" t="n">
        <v>0.05</v>
      </c>
      <c r="F10" s="8" t="inlineStr">
        <is>
          <t>% of FOB</t>
        </is>
      </c>
      <c r="G10" s="8" t="inlineStr">
        <is>
          <t>Held flat across scenarios</t>
        </is>
      </c>
    </row>
    <row r="11">
      <c r="A11" s="6" t="inlineStr">
        <is>
          <t>Insurance &amp; handling</t>
        </is>
      </c>
      <c r="B11" s="14" t="n">
        <v>0.03</v>
      </c>
      <c r="C11" s="14" t="n">
        <v>0.03</v>
      </c>
      <c r="D11" s="14" t="n">
        <v>0.03</v>
      </c>
      <c r="E11" s="14" t="n">
        <v>0.03</v>
      </c>
      <c r="F11" s="8" t="inlineStr">
        <is>
          <t>% of FOB</t>
        </is>
      </c>
      <c r="G11" s="8" t="inlineStr">
        <is>
          <t>Held flat across scenarios</t>
        </is>
      </c>
    </row>
    <row r="12">
      <c r="A12" s="6" t="inlineStr">
        <is>
          <t>Consumer spending vs plan</t>
        </is>
      </c>
      <c r="B12" s="15" t="n">
        <v>0</v>
      </c>
      <c r="C12" s="15" t="n">
        <v>-0.02</v>
      </c>
      <c r="D12" s="15" t="n">
        <v>-0.05</v>
      </c>
      <c r="E12" s="15" t="n">
        <v>-0.11</v>
      </c>
      <c r="F12" s="8" t="inlineStr">
        <is>
          <t>% vs plan</t>
        </is>
      </c>
      <c r="G12" s="8" t="inlineStr">
        <is>
          <t>Macro driver of demand</t>
        </is>
      </c>
    </row>
    <row r="13">
      <c r="A13" s="6" t="inlineStr">
        <is>
          <t>Air-&gt;sea substitution shift</t>
        </is>
      </c>
      <c r="B13" s="15" t="n">
        <v>0</v>
      </c>
      <c r="C13" s="15" t="n">
        <v>0</v>
      </c>
      <c r="D13" s="15" t="n">
        <v>0.1</v>
      </c>
      <c r="E13" s="15" t="n">
        <v>0.2</v>
      </c>
      <c r="F13" s="8" t="inlineStr">
        <is>
          <t>pp of units</t>
        </is>
      </c>
      <c r="G13" s="8" t="inlineStr">
        <is>
          <t>Defensive shift embedded in scenario</t>
        </is>
      </c>
    </row>
    <row r="15" ht="18" customHeight="1">
      <c r="A15" s="3" t="inlineStr">
        <is>
          <t>DEMAND ELASTICITY BY SEGMENT</t>
        </is>
      </c>
    </row>
    <row r="16" ht="28" customHeight="1">
      <c r="A16" s="4" t="inlineStr">
        <is>
          <t>Segment</t>
        </is>
      </c>
      <c r="B16" s="5" t="inlineStr">
        <is>
          <t>Elasticity</t>
        </is>
      </c>
      <c r="C16" s="16" t="inlineStr">
        <is>
          <t>demand % move per 1% spending move</t>
        </is>
      </c>
      <c r="D16" s="17" t="n"/>
      <c r="E16" s="17" t="n"/>
      <c r="F16" s="17" t="n"/>
      <c r="G16" s="5" t="inlineStr">
        <is>
          <t>Notes</t>
        </is>
      </c>
    </row>
    <row r="17">
      <c r="A17" s="6" t="inlineStr">
        <is>
          <t>Premium</t>
        </is>
      </c>
      <c r="B17" s="18" t="n">
        <v>1.5</v>
      </c>
      <c r="G17" s="8" t="inlineStr">
        <is>
          <t>Discretionary — most sensitive to spending</t>
        </is>
      </c>
    </row>
    <row r="18">
      <c r="A18" s="6" t="inlineStr">
        <is>
          <t>Core</t>
        </is>
      </c>
      <c r="B18" s="18" t="n">
        <v>1</v>
      </c>
      <c r="G18" s="8" t="inlineStr">
        <is>
          <t>Moves roughly with the market</t>
        </is>
      </c>
    </row>
    <row r="19">
      <c r="A19" s="6" t="inlineStr">
        <is>
          <t>Value</t>
        </is>
      </c>
      <c r="B19" s="18" t="n">
        <v>0.5</v>
      </c>
      <c r="G19" s="8" t="inlineStr">
        <is>
          <t>Defensive — customers trade down into it</t>
        </is>
      </c>
    </row>
    <row r="21" ht="18" customHeight="1">
      <c r="A21" s="3" t="inlineStr">
        <is>
          <t>AGGREGATE MODEL BASIS  (Margin Bridge &amp; Levers)</t>
        </is>
      </c>
    </row>
    <row r="22" ht="28" customHeight="1">
      <c r="A22" s="4" t="inlineStr">
        <is>
          <t>Item</t>
        </is>
      </c>
      <c r="B22" s="5" t="inlineStr">
        <is>
          <t>Value</t>
        </is>
      </c>
      <c r="C22" s="5" t="inlineStr"/>
      <c r="D22" s="5" t="inlineStr"/>
      <c r="E22" s="5" t="inlineStr"/>
      <c r="F22" s="5" t="inlineStr">
        <is>
          <t>Unit</t>
        </is>
      </c>
      <c r="G22" s="5" t="inlineStr">
        <is>
          <t>Notes</t>
        </is>
      </c>
    </row>
    <row r="23">
      <c r="A23" s="6" t="inlineStr">
        <is>
          <t>Total planned units (period)</t>
        </is>
      </c>
      <c r="B23" s="19" t="n">
        <v>480000</v>
      </c>
      <c r="F23" s="8" t="inlineStr">
        <is>
          <t>units</t>
        </is>
      </c>
      <c r="G23" s="8" t="inlineStr">
        <is>
          <t>Representative volume, Sep26-Jun27</t>
        </is>
      </c>
    </row>
    <row r="24">
      <c r="A24" s="6" t="inlineStr">
        <is>
          <t>Planned ASP (avg selling price)</t>
        </is>
      </c>
      <c r="B24" s="12" t="n">
        <v>38</v>
      </c>
      <c r="F24" s="8" t="inlineStr">
        <is>
          <t>AUD/unit</t>
        </is>
      </c>
      <c r="G24" s="8" t="inlineStr">
        <is>
          <t>Blended across catalogue</t>
        </is>
      </c>
    </row>
    <row r="25">
      <c r="A25" s="6" t="inlineStr">
        <is>
          <t>Avg FOB cost</t>
        </is>
      </c>
      <c r="B25" s="12" t="n">
        <v>12</v>
      </c>
      <c r="F25" s="8" t="inlineStr">
        <is>
          <t>USD/unit</t>
        </is>
      </c>
      <c r="G25" s="8" t="inlineStr">
        <is>
          <t>Representative average (cf. Tab 2 SKUs)</t>
        </is>
      </c>
    </row>
    <row r="26">
      <c r="A26" s="6" t="inlineStr">
        <is>
          <t>Avg weight</t>
        </is>
      </c>
      <c r="B26" s="20" t="n">
        <v>0.9</v>
      </c>
      <c r="F26" s="8" t="inlineStr">
        <is>
          <t>kg/unit</t>
        </is>
      </c>
      <c r="G26" s="8" t="inlineStr">
        <is>
          <t>Drives air freight per unit</t>
        </is>
      </c>
    </row>
    <row r="27">
      <c r="A27" s="6" t="inlineStr">
        <is>
          <t>Avg units per CBM</t>
        </is>
      </c>
      <c r="B27" s="19" t="n">
        <v>220</v>
      </c>
      <c r="F27" s="8" t="inlineStr">
        <is>
          <t>units/CBM</t>
        </is>
      </c>
      <c r="G27" s="8" t="inlineStr">
        <is>
          <t>Drives sea freight per unit</t>
        </is>
      </c>
    </row>
    <row r="28">
      <c r="A28" s="6" t="inlineStr">
        <is>
          <t>Planned air share of units</t>
        </is>
      </c>
      <c r="B28" s="14" t="n">
        <v>0.35</v>
      </c>
      <c r="F28" s="8" t="inlineStr">
        <is>
          <t>% of units</t>
        </is>
      </c>
      <c r="G28" s="8" t="inlineStr">
        <is>
          <t>Balance ships by sea</t>
        </is>
      </c>
    </row>
    <row r="29">
      <c r="A29" s="6" t="inlineStr">
        <is>
          <t>Price elasticity</t>
        </is>
      </c>
      <c r="B29" s="20" t="n">
        <v>0.8</v>
      </c>
      <c r="F29" s="8" t="inlineStr">
        <is>
          <t>vol% per 1% price</t>
        </is>
      </c>
      <c r="G29" s="8" t="inlineStr">
        <is>
          <t>For the price-passthrough lever</t>
        </is>
      </c>
    </row>
  </sheetData>
  <mergeCells count="6">
    <mergeCell ref="A1:G1"/>
    <mergeCell ref="A21:G21"/>
    <mergeCell ref="A4:G4"/>
    <mergeCell ref="C16:F16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</cols>
  <sheetData>
    <row r="1" ht="24" customHeight="1">
      <c r="A1" s="1" t="inlineStr">
        <is>
          <t>Landed Cost Impact  —  Air vs Sea, FX effect vs Freight effect</t>
        </is>
      </c>
    </row>
    <row r="2" ht="30" customHeight="1">
      <c r="A2" s="2" t="inlineStr">
        <is>
          <t>All landed costs are AUD per unit. Effects are measured vs Plan. Attribution order: FX first (revalue every USD cost at the scenario rate), then Freight (apply the scenario freight rate). FX Δ + Freight Δ = Total Δ, exactly.</t>
        </is>
      </c>
    </row>
    <row r="4" ht="18" customHeight="1">
      <c r="A4" s="3" t="inlineStr">
        <is>
          <t>SKU MASTER  (inputs)</t>
        </is>
      </c>
    </row>
    <row r="5" ht="28" customHeight="1">
      <c r="A5" s="4" t="inlineStr">
        <is>
          <t>SKU Code</t>
        </is>
      </c>
      <c r="B5" s="5" t="inlineStr">
        <is>
          <t>Description</t>
        </is>
      </c>
      <c r="C5" s="5" t="inlineStr">
        <is>
          <t>FOB Cost (USD)</t>
        </is>
      </c>
      <c r="D5" s="5" t="inlineStr">
        <is>
          <t>Weight (kg)</t>
        </is>
      </c>
      <c r="E5" s="5" t="inlineStr">
        <is>
          <t>Units / CBM</t>
        </is>
      </c>
    </row>
    <row r="6">
      <c r="A6" s="21" t="inlineStr">
        <is>
          <t>SKU-001</t>
        </is>
      </c>
      <c r="B6" s="6" t="inlineStr">
        <is>
          <t>Compact appliance</t>
        </is>
      </c>
      <c r="C6" s="12" t="n">
        <v>24</v>
      </c>
      <c r="D6" s="20" t="n">
        <v>2.1</v>
      </c>
      <c r="E6" s="19" t="n">
        <v>60</v>
      </c>
    </row>
    <row r="7">
      <c r="A7" s="21" t="inlineStr">
        <is>
          <t>SKU-002</t>
        </is>
      </c>
      <c r="B7" s="6" t="inlineStr">
        <is>
          <t>Kitchen accessory</t>
        </is>
      </c>
      <c r="C7" s="12" t="n">
        <v>6.5</v>
      </c>
      <c r="D7" s="20" t="n">
        <v>0.4</v>
      </c>
      <c r="E7" s="19" t="n">
        <v>480</v>
      </c>
    </row>
    <row r="8">
      <c r="A8" s="21" t="inlineStr">
        <is>
          <t>SKU-003</t>
        </is>
      </c>
      <c r="B8" s="6" t="inlineStr">
        <is>
          <t>Homeware set</t>
        </is>
      </c>
      <c r="C8" s="12" t="n">
        <v>14</v>
      </c>
      <c r="D8" s="20" t="n">
        <v>1.8</v>
      </c>
      <c r="E8" s="19" t="n">
        <v>90</v>
      </c>
    </row>
    <row r="9">
      <c r="A9" s="21" t="inlineStr">
        <is>
          <t>SKU-004</t>
        </is>
      </c>
      <c r="B9" s="6" t="inlineStr">
        <is>
          <t>Small electronic</t>
        </is>
      </c>
      <c r="C9" s="12" t="n">
        <v>32</v>
      </c>
      <c r="D9" s="20" t="n">
        <v>0.6</v>
      </c>
      <c r="E9" s="19" t="n">
        <v>300</v>
      </c>
    </row>
    <row r="10">
      <c r="A10" s="21" t="inlineStr">
        <is>
          <t>SKU-005</t>
        </is>
      </c>
      <c r="B10" s="6" t="inlineStr">
        <is>
          <t>Textile goods</t>
        </is>
      </c>
      <c r="C10" s="12" t="n">
        <v>9</v>
      </c>
      <c r="D10" s="20" t="n">
        <v>1.2</v>
      </c>
      <c r="E10" s="19" t="n">
        <v>140</v>
      </c>
    </row>
    <row r="11">
      <c r="A11" s="21" t="inlineStr">
        <is>
          <t>SKU-006</t>
        </is>
      </c>
      <c r="B11" s="6" t="inlineStr">
        <is>
          <t>Bulky furniture item</t>
        </is>
      </c>
      <c r="C11" s="12" t="n">
        <v>45</v>
      </c>
      <c r="D11" s="20" t="n">
        <v>8.5</v>
      </c>
      <c r="E11" s="19" t="n">
        <v>12</v>
      </c>
    </row>
    <row r="13" ht="18" customHeight="1">
      <c r="A13" s="3" t="inlineStr">
        <is>
          <t>AIR FREIGHT — Landed Cost per Unit (AUD)</t>
        </is>
      </c>
    </row>
    <row r="14" ht="28" customHeight="1">
      <c r="A14" s="4" t="inlineStr">
        <is>
          <t>SKU</t>
        </is>
      </c>
      <c r="B14" s="5" t="inlineStr">
        <is>
          <t>Plan</t>
        </is>
      </c>
      <c r="C14" s="5" t="inlineStr">
        <is>
          <t>Base
Landed</t>
        </is>
      </c>
      <c r="D14" s="5" t="inlineStr">
        <is>
          <t>Base
FX Δ</t>
        </is>
      </c>
      <c r="E14" s="5" t="inlineStr">
        <is>
          <t>Base
Freight Δ</t>
        </is>
      </c>
      <c r="F14" s="5" t="inlineStr">
        <is>
          <t>Base
Total Δ</t>
        </is>
      </c>
      <c r="G14" s="5" t="inlineStr">
        <is>
          <t>Moderate
Landed</t>
        </is>
      </c>
      <c r="H14" s="5" t="inlineStr">
        <is>
          <t>Moderate
FX Δ</t>
        </is>
      </c>
      <c r="I14" s="5" t="inlineStr">
        <is>
          <t>Moderate
Freight Δ</t>
        </is>
      </c>
      <c r="J14" s="5" t="inlineStr">
        <is>
          <t>Moderate
Total Δ</t>
        </is>
      </c>
      <c r="K14" s="5" t="inlineStr">
        <is>
          <t>Severe
Landed</t>
        </is>
      </c>
      <c r="L14" s="5" t="inlineStr">
        <is>
          <t>Severe
FX Δ</t>
        </is>
      </c>
      <c r="M14" s="5" t="inlineStr">
        <is>
          <t>Severe
Freight Δ</t>
        </is>
      </c>
      <c r="N14" s="5" t="inlineStr">
        <is>
          <t>Severe
Total Δ</t>
        </is>
      </c>
    </row>
    <row r="15">
      <c r="A15" s="6">
        <f>$A$6</f>
        <v/>
      </c>
      <c r="B15" s="22">
        <f>'1. Assumptions'!$B$7*($C$6*(1+'1. Assumptions'!$B$10+'1. Assumptions'!$B$11)+$D$6*'1. Assumptions'!$B$8)</f>
        <v/>
      </c>
      <c r="C15" s="22">
        <f>'1. Assumptions'!$C$7*($C$6*(1+'1. Assumptions'!$B$10+'1. Assumptions'!$B$11)+$D$6*'1. Assumptions'!$C$8)</f>
        <v/>
      </c>
      <c r="D15" s="22">
        <f>'1. Assumptions'!$C$7*($C$6*(1+'1. Assumptions'!$B$10+'1. Assumptions'!$B$11)+$D$6*'1. Assumptions'!$B$8)-$B$15</f>
        <v/>
      </c>
      <c r="E15" s="22">
        <f>C15-('1. Assumptions'!$C$7*($C$6*(1+'1. Assumptions'!$B$10+'1. Assumptions'!$B$11)+$D$6*'1. Assumptions'!$B$8))</f>
        <v/>
      </c>
      <c r="F15" s="23">
        <f>C15-$B$15</f>
        <v/>
      </c>
      <c r="G15" s="22">
        <f>'1. Assumptions'!$D$7*($C$6*(1+'1. Assumptions'!$B$10+'1. Assumptions'!$B$11)+$D$6*'1. Assumptions'!$D$8)</f>
        <v/>
      </c>
      <c r="H15" s="22">
        <f>'1. Assumptions'!$D$7*($C$6*(1+'1. Assumptions'!$B$10+'1. Assumptions'!$B$11)+$D$6*'1. Assumptions'!$B$8)-$B$15</f>
        <v/>
      </c>
      <c r="I15" s="22">
        <f>G15-('1. Assumptions'!$D$7*($C$6*(1+'1. Assumptions'!$B$10+'1. Assumptions'!$B$11)+$D$6*'1. Assumptions'!$B$8))</f>
        <v/>
      </c>
      <c r="J15" s="23">
        <f>G15-$B$15</f>
        <v/>
      </c>
      <c r="K15" s="22">
        <f>'1. Assumptions'!$E$7*($C$6*(1+'1. Assumptions'!$B$10+'1. Assumptions'!$B$11)+$D$6*'1. Assumptions'!$E$8)</f>
        <v/>
      </c>
      <c r="L15" s="22">
        <f>'1. Assumptions'!$E$7*($C$6*(1+'1. Assumptions'!$B$10+'1. Assumptions'!$B$11)+$D$6*'1. Assumptions'!$B$8)-$B$15</f>
        <v/>
      </c>
      <c r="M15" s="22">
        <f>K15-('1. Assumptions'!$E$7*($C$6*(1+'1. Assumptions'!$B$10+'1. Assumptions'!$B$11)+$D$6*'1. Assumptions'!$B$8))</f>
        <v/>
      </c>
      <c r="N15" s="23">
        <f>K15-$B$15</f>
        <v/>
      </c>
    </row>
    <row r="16">
      <c r="A16" s="6">
        <f>$A$7</f>
        <v/>
      </c>
      <c r="B16" s="22">
        <f>'1. Assumptions'!$B$7*($C$7*(1+'1. Assumptions'!$B$10+'1. Assumptions'!$B$11)+$D$7*'1. Assumptions'!$B$8)</f>
        <v/>
      </c>
      <c r="C16" s="22">
        <f>'1. Assumptions'!$C$7*($C$7*(1+'1. Assumptions'!$B$10+'1. Assumptions'!$B$11)+$D$7*'1. Assumptions'!$C$8)</f>
        <v/>
      </c>
      <c r="D16" s="22">
        <f>'1. Assumptions'!$C$7*($C$7*(1+'1. Assumptions'!$B$10+'1. Assumptions'!$B$11)+$D$7*'1. Assumptions'!$B$8)-$B$16</f>
        <v/>
      </c>
      <c r="E16" s="22">
        <f>C16-('1. Assumptions'!$C$7*($C$7*(1+'1. Assumptions'!$B$10+'1. Assumptions'!$B$11)+$D$7*'1. Assumptions'!$B$8))</f>
        <v/>
      </c>
      <c r="F16" s="23">
        <f>C16-$B$16</f>
        <v/>
      </c>
      <c r="G16" s="22">
        <f>'1. Assumptions'!$D$7*($C$7*(1+'1. Assumptions'!$B$10+'1. Assumptions'!$B$11)+$D$7*'1. Assumptions'!$D$8)</f>
        <v/>
      </c>
      <c r="H16" s="22">
        <f>'1. Assumptions'!$D$7*($C$7*(1+'1. Assumptions'!$B$10+'1. Assumptions'!$B$11)+$D$7*'1. Assumptions'!$B$8)-$B$16</f>
        <v/>
      </c>
      <c r="I16" s="22">
        <f>G16-('1. Assumptions'!$D$7*($C$7*(1+'1. Assumptions'!$B$10+'1. Assumptions'!$B$11)+$D$7*'1. Assumptions'!$B$8))</f>
        <v/>
      </c>
      <c r="J16" s="23">
        <f>G16-$B$16</f>
        <v/>
      </c>
      <c r="K16" s="22">
        <f>'1. Assumptions'!$E$7*($C$7*(1+'1. Assumptions'!$B$10+'1. Assumptions'!$B$11)+$D$7*'1. Assumptions'!$E$8)</f>
        <v/>
      </c>
      <c r="L16" s="22">
        <f>'1. Assumptions'!$E$7*($C$7*(1+'1. Assumptions'!$B$10+'1. Assumptions'!$B$11)+$D$7*'1. Assumptions'!$B$8)-$B$16</f>
        <v/>
      </c>
      <c r="M16" s="22">
        <f>K16-('1. Assumptions'!$E$7*($C$7*(1+'1. Assumptions'!$B$10+'1. Assumptions'!$B$11)+$D$7*'1. Assumptions'!$B$8))</f>
        <v/>
      </c>
      <c r="N16" s="23">
        <f>K16-$B$16</f>
        <v/>
      </c>
    </row>
    <row r="17">
      <c r="A17" s="6">
        <f>$A$8</f>
        <v/>
      </c>
      <c r="B17" s="22">
        <f>'1. Assumptions'!$B$7*($C$8*(1+'1. Assumptions'!$B$10+'1. Assumptions'!$B$11)+$D$8*'1. Assumptions'!$B$8)</f>
        <v/>
      </c>
      <c r="C17" s="22">
        <f>'1. Assumptions'!$C$7*($C$8*(1+'1. Assumptions'!$B$10+'1. Assumptions'!$B$11)+$D$8*'1. Assumptions'!$C$8)</f>
        <v/>
      </c>
      <c r="D17" s="22">
        <f>'1. Assumptions'!$C$7*($C$8*(1+'1. Assumptions'!$B$10+'1. Assumptions'!$B$11)+$D$8*'1. Assumptions'!$B$8)-$B$17</f>
        <v/>
      </c>
      <c r="E17" s="22">
        <f>C17-('1. Assumptions'!$C$7*($C$8*(1+'1. Assumptions'!$B$10+'1. Assumptions'!$B$11)+$D$8*'1. Assumptions'!$B$8))</f>
        <v/>
      </c>
      <c r="F17" s="23">
        <f>C17-$B$17</f>
        <v/>
      </c>
      <c r="G17" s="22">
        <f>'1. Assumptions'!$D$7*($C$8*(1+'1. Assumptions'!$B$10+'1. Assumptions'!$B$11)+$D$8*'1. Assumptions'!$D$8)</f>
        <v/>
      </c>
      <c r="H17" s="22">
        <f>'1. Assumptions'!$D$7*($C$8*(1+'1. Assumptions'!$B$10+'1. Assumptions'!$B$11)+$D$8*'1. Assumptions'!$B$8)-$B$17</f>
        <v/>
      </c>
      <c r="I17" s="22">
        <f>G17-('1. Assumptions'!$D$7*($C$8*(1+'1. Assumptions'!$B$10+'1. Assumptions'!$B$11)+$D$8*'1. Assumptions'!$B$8))</f>
        <v/>
      </c>
      <c r="J17" s="23">
        <f>G17-$B$17</f>
        <v/>
      </c>
      <c r="K17" s="22">
        <f>'1. Assumptions'!$E$7*($C$8*(1+'1. Assumptions'!$B$10+'1. Assumptions'!$B$11)+$D$8*'1. Assumptions'!$E$8)</f>
        <v/>
      </c>
      <c r="L17" s="22">
        <f>'1. Assumptions'!$E$7*($C$8*(1+'1. Assumptions'!$B$10+'1. Assumptions'!$B$11)+$D$8*'1. Assumptions'!$B$8)-$B$17</f>
        <v/>
      </c>
      <c r="M17" s="22">
        <f>K17-('1. Assumptions'!$E$7*($C$8*(1+'1. Assumptions'!$B$10+'1. Assumptions'!$B$11)+$D$8*'1. Assumptions'!$B$8))</f>
        <v/>
      </c>
      <c r="N17" s="23">
        <f>K17-$B$17</f>
        <v/>
      </c>
    </row>
    <row r="18">
      <c r="A18" s="6">
        <f>$A$9</f>
        <v/>
      </c>
      <c r="B18" s="22">
        <f>'1. Assumptions'!$B$7*($C$9*(1+'1. Assumptions'!$B$10+'1. Assumptions'!$B$11)+$D$9*'1. Assumptions'!$B$8)</f>
        <v/>
      </c>
      <c r="C18" s="22">
        <f>'1. Assumptions'!$C$7*($C$9*(1+'1. Assumptions'!$B$10+'1. Assumptions'!$B$11)+$D$9*'1. Assumptions'!$C$8)</f>
        <v/>
      </c>
      <c r="D18" s="22">
        <f>'1. Assumptions'!$C$7*($C$9*(1+'1. Assumptions'!$B$10+'1. Assumptions'!$B$11)+$D$9*'1. Assumptions'!$B$8)-$B$18</f>
        <v/>
      </c>
      <c r="E18" s="22">
        <f>C18-('1. Assumptions'!$C$7*($C$9*(1+'1. Assumptions'!$B$10+'1. Assumptions'!$B$11)+$D$9*'1. Assumptions'!$B$8))</f>
        <v/>
      </c>
      <c r="F18" s="23">
        <f>C18-$B$18</f>
        <v/>
      </c>
      <c r="G18" s="22">
        <f>'1. Assumptions'!$D$7*($C$9*(1+'1. Assumptions'!$B$10+'1. Assumptions'!$B$11)+$D$9*'1. Assumptions'!$D$8)</f>
        <v/>
      </c>
      <c r="H18" s="22">
        <f>'1. Assumptions'!$D$7*($C$9*(1+'1. Assumptions'!$B$10+'1. Assumptions'!$B$11)+$D$9*'1. Assumptions'!$B$8)-$B$18</f>
        <v/>
      </c>
      <c r="I18" s="22">
        <f>G18-('1. Assumptions'!$D$7*($C$9*(1+'1. Assumptions'!$B$10+'1. Assumptions'!$B$11)+$D$9*'1. Assumptions'!$B$8))</f>
        <v/>
      </c>
      <c r="J18" s="23">
        <f>G18-$B$18</f>
        <v/>
      </c>
      <c r="K18" s="22">
        <f>'1. Assumptions'!$E$7*($C$9*(1+'1. Assumptions'!$B$10+'1. Assumptions'!$B$11)+$D$9*'1. Assumptions'!$E$8)</f>
        <v/>
      </c>
      <c r="L18" s="22">
        <f>'1. Assumptions'!$E$7*($C$9*(1+'1. Assumptions'!$B$10+'1. Assumptions'!$B$11)+$D$9*'1. Assumptions'!$B$8)-$B$18</f>
        <v/>
      </c>
      <c r="M18" s="22">
        <f>K18-('1. Assumptions'!$E$7*($C$9*(1+'1. Assumptions'!$B$10+'1. Assumptions'!$B$11)+$D$9*'1. Assumptions'!$B$8))</f>
        <v/>
      </c>
      <c r="N18" s="23">
        <f>K18-$B$18</f>
        <v/>
      </c>
    </row>
    <row r="19">
      <c r="A19" s="6">
        <f>$A$10</f>
        <v/>
      </c>
      <c r="B19" s="22">
        <f>'1. Assumptions'!$B$7*($C$10*(1+'1. Assumptions'!$B$10+'1. Assumptions'!$B$11)+$D$10*'1. Assumptions'!$B$8)</f>
        <v/>
      </c>
      <c r="C19" s="22">
        <f>'1. Assumptions'!$C$7*($C$10*(1+'1. Assumptions'!$B$10+'1. Assumptions'!$B$11)+$D$10*'1. Assumptions'!$C$8)</f>
        <v/>
      </c>
      <c r="D19" s="22">
        <f>'1. Assumptions'!$C$7*($C$10*(1+'1. Assumptions'!$B$10+'1. Assumptions'!$B$11)+$D$10*'1. Assumptions'!$B$8)-$B$19</f>
        <v/>
      </c>
      <c r="E19" s="22">
        <f>C19-('1. Assumptions'!$C$7*($C$10*(1+'1. Assumptions'!$B$10+'1. Assumptions'!$B$11)+$D$10*'1. Assumptions'!$B$8))</f>
        <v/>
      </c>
      <c r="F19" s="23">
        <f>C19-$B$19</f>
        <v/>
      </c>
      <c r="G19" s="22">
        <f>'1. Assumptions'!$D$7*($C$10*(1+'1. Assumptions'!$B$10+'1. Assumptions'!$B$11)+$D$10*'1. Assumptions'!$D$8)</f>
        <v/>
      </c>
      <c r="H19" s="22">
        <f>'1. Assumptions'!$D$7*($C$10*(1+'1. Assumptions'!$B$10+'1. Assumptions'!$B$11)+$D$10*'1. Assumptions'!$B$8)-$B$19</f>
        <v/>
      </c>
      <c r="I19" s="22">
        <f>G19-('1. Assumptions'!$D$7*($C$10*(1+'1. Assumptions'!$B$10+'1. Assumptions'!$B$11)+$D$10*'1. Assumptions'!$B$8))</f>
        <v/>
      </c>
      <c r="J19" s="23">
        <f>G19-$B$19</f>
        <v/>
      </c>
      <c r="K19" s="22">
        <f>'1. Assumptions'!$E$7*($C$10*(1+'1. Assumptions'!$B$10+'1. Assumptions'!$B$11)+$D$10*'1. Assumptions'!$E$8)</f>
        <v/>
      </c>
      <c r="L19" s="22">
        <f>'1. Assumptions'!$E$7*($C$10*(1+'1. Assumptions'!$B$10+'1. Assumptions'!$B$11)+$D$10*'1. Assumptions'!$B$8)-$B$19</f>
        <v/>
      </c>
      <c r="M19" s="22">
        <f>K19-('1. Assumptions'!$E$7*($C$10*(1+'1. Assumptions'!$B$10+'1. Assumptions'!$B$11)+$D$10*'1. Assumptions'!$B$8))</f>
        <v/>
      </c>
      <c r="N19" s="23">
        <f>K19-$B$19</f>
        <v/>
      </c>
    </row>
    <row r="20">
      <c r="A20" s="6">
        <f>$A$11</f>
        <v/>
      </c>
      <c r="B20" s="22">
        <f>'1. Assumptions'!$B$7*($C$11*(1+'1. Assumptions'!$B$10+'1. Assumptions'!$B$11)+$D$11*'1. Assumptions'!$B$8)</f>
        <v/>
      </c>
      <c r="C20" s="22">
        <f>'1. Assumptions'!$C$7*($C$11*(1+'1. Assumptions'!$B$10+'1. Assumptions'!$B$11)+$D$11*'1. Assumptions'!$C$8)</f>
        <v/>
      </c>
      <c r="D20" s="22">
        <f>'1. Assumptions'!$C$7*($C$11*(1+'1. Assumptions'!$B$10+'1. Assumptions'!$B$11)+$D$11*'1. Assumptions'!$B$8)-$B$20</f>
        <v/>
      </c>
      <c r="E20" s="22">
        <f>C20-('1. Assumptions'!$C$7*($C$11*(1+'1. Assumptions'!$B$10+'1. Assumptions'!$B$11)+$D$11*'1. Assumptions'!$B$8))</f>
        <v/>
      </c>
      <c r="F20" s="23">
        <f>C20-$B$20</f>
        <v/>
      </c>
      <c r="G20" s="22">
        <f>'1. Assumptions'!$D$7*($C$11*(1+'1. Assumptions'!$B$10+'1. Assumptions'!$B$11)+$D$11*'1. Assumptions'!$D$8)</f>
        <v/>
      </c>
      <c r="H20" s="22">
        <f>'1. Assumptions'!$D$7*($C$11*(1+'1. Assumptions'!$B$10+'1. Assumptions'!$B$11)+$D$11*'1. Assumptions'!$B$8)-$B$20</f>
        <v/>
      </c>
      <c r="I20" s="22">
        <f>G20-('1. Assumptions'!$D$7*($C$11*(1+'1. Assumptions'!$B$10+'1. Assumptions'!$B$11)+$D$11*'1. Assumptions'!$B$8))</f>
        <v/>
      </c>
      <c r="J20" s="23">
        <f>G20-$B$20</f>
        <v/>
      </c>
      <c r="K20" s="22">
        <f>'1. Assumptions'!$E$7*($C$11*(1+'1. Assumptions'!$B$10+'1. Assumptions'!$B$11)+$D$11*'1. Assumptions'!$E$8)</f>
        <v/>
      </c>
      <c r="L20" s="22">
        <f>'1. Assumptions'!$E$7*($C$11*(1+'1. Assumptions'!$B$10+'1. Assumptions'!$B$11)+$D$11*'1. Assumptions'!$B$8)-$B$20</f>
        <v/>
      </c>
      <c r="M20" s="22">
        <f>K20-('1. Assumptions'!$E$7*($C$11*(1+'1. Assumptions'!$B$10+'1. Assumptions'!$B$11)+$D$11*'1. Assumptions'!$B$8))</f>
        <v/>
      </c>
      <c r="N20" s="23">
        <f>K20-$B$20</f>
        <v/>
      </c>
    </row>
    <row r="21">
      <c r="A21" s="24" t="inlineStr">
        <is>
          <t>Average</t>
        </is>
      </c>
      <c r="B21" s="25">
        <f>AVERAGE(B15:B20)</f>
        <v/>
      </c>
      <c r="C21" s="25">
        <f>AVERAGE(C15:C20)</f>
        <v/>
      </c>
      <c r="D21" s="25">
        <f>AVERAGE(D15:D20)</f>
        <v/>
      </c>
      <c r="E21" s="25">
        <f>AVERAGE(E15:E20)</f>
        <v/>
      </c>
      <c r="F21" s="25">
        <f>AVERAGE(F15:F20)</f>
        <v/>
      </c>
      <c r="G21" s="25">
        <f>AVERAGE(G15:G20)</f>
        <v/>
      </c>
      <c r="H21" s="25">
        <f>AVERAGE(H15:H20)</f>
        <v/>
      </c>
      <c r="I21" s="25">
        <f>AVERAGE(I15:I20)</f>
        <v/>
      </c>
      <c r="J21" s="25">
        <f>AVERAGE(J15:J20)</f>
        <v/>
      </c>
      <c r="K21" s="25">
        <f>AVERAGE(K15:K20)</f>
        <v/>
      </c>
      <c r="L21" s="25">
        <f>AVERAGE(L15:L20)</f>
        <v/>
      </c>
      <c r="M21" s="25">
        <f>AVERAGE(M15:M20)</f>
        <v/>
      </c>
      <c r="N21" s="25">
        <f>AVERAGE(N15:N20)</f>
        <v/>
      </c>
    </row>
    <row r="24" ht="18" customHeight="1">
      <c r="A24" s="3" t="inlineStr">
        <is>
          <t>SEA FREIGHT — Landed Cost per Unit (AUD)</t>
        </is>
      </c>
    </row>
    <row r="25" ht="28" customHeight="1">
      <c r="A25" s="4" t="inlineStr">
        <is>
          <t>SKU</t>
        </is>
      </c>
      <c r="B25" s="5" t="inlineStr">
        <is>
          <t>Plan</t>
        </is>
      </c>
      <c r="C25" s="5" t="inlineStr">
        <is>
          <t>Base
Landed</t>
        </is>
      </c>
      <c r="D25" s="5" t="inlineStr">
        <is>
          <t>Base
FX Δ</t>
        </is>
      </c>
      <c r="E25" s="5" t="inlineStr">
        <is>
          <t>Base
Freight Δ</t>
        </is>
      </c>
      <c r="F25" s="5" t="inlineStr">
        <is>
          <t>Base
Total Δ</t>
        </is>
      </c>
      <c r="G25" s="5" t="inlineStr">
        <is>
          <t>Moderate
Landed</t>
        </is>
      </c>
      <c r="H25" s="5" t="inlineStr">
        <is>
          <t>Moderate
FX Δ</t>
        </is>
      </c>
      <c r="I25" s="5" t="inlineStr">
        <is>
          <t>Moderate
Freight Δ</t>
        </is>
      </c>
      <c r="J25" s="5" t="inlineStr">
        <is>
          <t>Moderate
Total Δ</t>
        </is>
      </c>
      <c r="K25" s="5" t="inlineStr">
        <is>
          <t>Severe
Landed</t>
        </is>
      </c>
      <c r="L25" s="5" t="inlineStr">
        <is>
          <t>Severe
FX Δ</t>
        </is>
      </c>
      <c r="M25" s="5" t="inlineStr">
        <is>
          <t>Severe
Freight Δ</t>
        </is>
      </c>
      <c r="N25" s="5" t="inlineStr">
        <is>
          <t>Severe
Total Δ</t>
        </is>
      </c>
    </row>
    <row r="26">
      <c r="A26" s="6">
        <f>$A$6</f>
        <v/>
      </c>
      <c r="B26" s="22">
        <f>'1. Assumptions'!$B$7*($C$6*(1+'1. Assumptions'!$B$10+'1. Assumptions'!$B$11)+(1/$E$6)*'1. Assumptions'!$B$9)</f>
        <v/>
      </c>
      <c r="C26" s="22">
        <f>'1. Assumptions'!$C$7*($C$6*(1+'1. Assumptions'!$B$10+'1. Assumptions'!$B$11)+(1/$E$6)*'1. Assumptions'!$C$9)</f>
        <v/>
      </c>
      <c r="D26" s="22">
        <f>'1. Assumptions'!$C$7*($C$6*(1+'1. Assumptions'!$B$10+'1. Assumptions'!$B$11)+(1/$E$6)*'1. Assumptions'!$B$9)-$B$26</f>
        <v/>
      </c>
      <c r="E26" s="22">
        <f>C26-('1. Assumptions'!$C$7*($C$6*(1+'1. Assumptions'!$B$10+'1. Assumptions'!$B$11)+(1/$E$6)*'1. Assumptions'!$B$9))</f>
        <v/>
      </c>
      <c r="F26" s="23">
        <f>C26-$B$26</f>
        <v/>
      </c>
      <c r="G26" s="22">
        <f>'1. Assumptions'!$D$7*($C$6*(1+'1. Assumptions'!$B$10+'1. Assumptions'!$B$11)+(1/$E$6)*'1. Assumptions'!$D$9)</f>
        <v/>
      </c>
      <c r="H26" s="22">
        <f>'1. Assumptions'!$D$7*($C$6*(1+'1. Assumptions'!$B$10+'1. Assumptions'!$B$11)+(1/$E$6)*'1. Assumptions'!$B$9)-$B$26</f>
        <v/>
      </c>
      <c r="I26" s="22">
        <f>G26-('1. Assumptions'!$D$7*($C$6*(1+'1. Assumptions'!$B$10+'1. Assumptions'!$B$11)+(1/$E$6)*'1. Assumptions'!$B$9))</f>
        <v/>
      </c>
      <c r="J26" s="23">
        <f>G26-$B$26</f>
        <v/>
      </c>
      <c r="K26" s="22">
        <f>'1. Assumptions'!$E$7*($C$6*(1+'1. Assumptions'!$B$10+'1. Assumptions'!$B$11)+(1/$E$6)*'1. Assumptions'!$E$9)</f>
        <v/>
      </c>
      <c r="L26" s="22">
        <f>'1. Assumptions'!$E$7*($C$6*(1+'1. Assumptions'!$B$10+'1. Assumptions'!$B$11)+(1/$E$6)*'1. Assumptions'!$B$9)-$B$26</f>
        <v/>
      </c>
      <c r="M26" s="22">
        <f>K26-('1. Assumptions'!$E$7*($C$6*(1+'1. Assumptions'!$B$10+'1. Assumptions'!$B$11)+(1/$E$6)*'1. Assumptions'!$B$9))</f>
        <v/>
      </c>
      <c r="N26" s="23">
        <f>K26-$B$26</f>
        <v/>
      </c>
    </row>
    <row r="27">
      <c r="A27" s="6">
        <f>$A$7</f>
        <v/>
      </c>
      <c r="B27" s="22">
        <f>'1. Assumptions'!$B$7*($C$7*(1+'1. Assumptions'!$B$10+'1. Assumptions'!$B$11)+(1/$E$7)*'1. Assumptions'!$B$9)</f>
        <v/>
      </c>
      <c r="C27" s="22">
        <f>'1. Assumptions'!$C$7*($C$7*(1+'1. Assumptions'!$B$10+'1. Assumptions'!$B$11)+(1/$E$7)*'1. Assumptions'!$C$9)</f>
        <v/>
      </c>
      <c r="D27" s="22">
        <f>'1. Assumptions'!$C$7*($C$7*(1+'1. Assumptions'!$B$10+'1. Assumptions'!$B$11)+(1/$E$7)*'1. Assumptions'!$B$9)-$B$27</f>
        <v/>
      </c>
      <c r="E27" s="22">
        <f>C27-('1. Assumptions'!$C$7*($C$7*(1+'1. Assumptions'!$B$10+'1. Assumptions'!$B$11)+(1/$E$7)*'1. Assumptions'!$B$9))</f>
        <v/>
      </c>
      <c r="F27" s="23">
        <f>C27-$B$27</f>
        <v/>
      </c>
      <c r="G27" s="22">
        <f>'1. Assumptions'!$D$7*($C$7*(1+'1. Assumptions'!$B$10+'1. Assumptions'!$B$11)+(1/$E$7)*'1. Assumptions'!$D$9)</f>
        <v/>
      </c>
      <c r="H27" s="22">
        <f>'1. Assumptions'!$D$7*($C$7*(1+'1. Assumptions'!$B$10+'1. Assumptions'!$B$11)+(1/$E$7)*'1. Assumptions'!$B$9)-$B$27</f>
        <v/>
      </c>
      <c r="I27" s="22">
        <f>G27-('1. Assumptions'!$D$7*($C$7*(1+'1. Assumptions'!$B$10+'1. Assumptions'!$B$11)+(1/$E$7)*'1. Assumptions'!$B$9))</f>
        <v/>
      </c>
      <c r="J27" s="23">
        <f>G27-$B$27</f>
        <v/>
      </c>
      <c r="K27" s="22">
        <f>'1. Assumptions'!$E$7*($C$7*(1+'1. Assumptions'!$B$10+'1. Assumptions'!$B$11)+(1/$E$7)*'1. Assumptions'!$E$9)</f>
        <v/>
      </c>
      <c r="L27" s="22">
        <f>'1. Assumptions'!$E$7*($C$7*(1+'1. Assumptions'!$B$10+'1. Assumptions'!$B$11)+(1/$E$7)*'1. Assumptions'!$B$9)-$B$27</f>
        <v/>
      </c>
      <c r="M27" s="22">
        <f>K27-('1. Assumptions'!$E$7*($C$7*(1+'1. Assumptions'!$B$10+'1. Assumptions'!$B$11)+(1/$E$7)*'1. Assumptions'!$B$9))</f>
        <v/>
      </c>
      <c r="N27" s="23">
        <f>K27-$B$27</f>
        <v/>
      </c>
    </row>
    <row r="28">
      <c r="A28" s="6">
        <f>$A$8</f>
        <v/>
      </c>
      <c r="B28" s="22">
        <f>'1. Assumptions'!$B$7*($C$8*(1+'1. Assumptions'!$B$10+'1. Assumptions'!$B$11)+(1/$E$8)*'1. Assumptions'!$B$9)</f>
        <v/>
      </c>
      <c r="C28" s="22">
        <f>'1. Assumptions'!$C$7*($C$8*(1+'1. Assumptions'!$B$10+'1. Assumptions'!$B$11)+(1/$E$8)*'1. Assumptions'!$C$9)</f>
        <v/>
      </c>
      <c r="D28" s="22">
        <f>'1. Assumptions'!$C$7*($C$8*(1+'1. Assumptions'!$B$10+'1. Assumptions'!$B$11)+(1/$E$8)*'1. Assumptions'!$B$9)-$B$28</f>
        <v/>
      </c>
      <c r="E28" s="22">
        <f>C28-('1. Assumptions'!$C$7*($C$8*(1+'1. Assumptions'!$B$10+'1. Assumptions'!$B$11)+(1/$E$8)*'1. Assumptions'!$B$9))</f>
        <v/>
      </c>
      <c r="F28" s="23">
        <f>C28-$B$28</f>
        <v/>
      </c>
      <c r="G28" s="22">
        <f>'1. Assumptions'!$D$7*($C$8*(1+'1. Assumptions'!$B$10+'1. Assumptions'!$B$11)+(1/$E$8)*'1. Assumptions'!$D$9)</f>
        <v/>
      </c>
      <c r="H28" s="22">
        <f>'1. Assumptions'!$D$7*($C$8*(1+'1. Assumptions'!$B$10+'1. Assumptions'!$B$11)+(1/$E$8)*'1. Assumptions'!$B$9)-$B$28</f>
        <v/>
      </c>
      <c r="I28" s="22">
        <f>G28-('1. Assumptions'!$D$7*($C$8*(1+'1. Assumptions'!$B$10+'1. Assumptions'!$B$11)+(1/$E$8)*'1. Assumptions'!$B$9))</f>
        <v/>
      </c>
      <c r="J28" s="23">
        <f>G28-$B$28</f>
        <v/>
      </c>
      <c r="K28" s="22">
        <f>'1. Assumptions'!$E$7*($C$8*(1+'1. Assumptions'!$B$10+'1. Assumptions'!$B$11)+(1/$E$8)*'1. Assumptions'!$E$9)</f>
        <v/>
      </c>
      <c r="L28" s="22">
        <f>'1. Assumptions'!$E$7*($C$8*(1+'1. Assumptions'!$B$10+'1. Assumptions'!$B$11)+(1/$E$8)*'1. Assumptions'!$B$9)-$B$28</f>
        <v/>
      </c>
      <c r="M28" s="22">
        <f>K28-('1. Assumptions'!$E$7*($C$8*(1+'1. Assumptions'!$B$10+'1. Assumptions'!$B$11)+(1/$E$8)*'1. Assumptions'!$B$9))</f>
        <v/>
      </c>
      <c r="N28" s="23">
        <f>K28-$B$28</f>
        <v/>
      </c>
    </row>
    <row r="29">
      <c r="A29" s="6">
        <f>$A$9</f>
        <v/>
      </c>
      <c r="B29" s="22">
        <f>'1. Assumptions'!$B$7*($C$9*(1+'1. Assumptions'!$B$10+'1. Assumptions'!$B$11)+(1/$E$9)*'1. Assumptions'!$B$9)</f>
        <v/>
      </c>
      <c r="C29" s="22">
        <f>'1. Assumptions'!$C$7*($C$9*(1+'1. Assumptions'!$B$10+'1. Assumptions'!$B$11)+(1/$E$9)*'1. Assumptions'!$C$9)</f>
        <v/>
      </c>
      <c r="D29" s="22">
        <f>'1. Assumptions'!$C$7*($C$9*(1+'1. Assumptions'!$B$10+'1. Assumptions'!$B$11)+(1/$E$9)*'1. Assumptions'!$B$9)-$B$29</f>
        <v/>
      </c>
      <c r="E29" s="22">
        <f>C29-('1. Assumptions'!$C$7*($C$9*(1+'1. Assumptions'!$B$10+'1. Assumptions'!$B$11)+(1/$E$9)*'1. Assumptions'!$B$9))</f>
        <v/>
      </c>
      <c r="F29" s="23">
        <f>C29-$B$29</f>
        <v/>
      </c>
      <c r="G29" s="22">
        <f>'1. Assumptions'!$D$7*($C$9*(1+'1. Assumptions'!$B$10+'1. Assumptions'!$B$11)+(1/$E$9)*'1. Assumptions'!$D$9)</f>
        <v/>
      </c>
      <c r="H29" s="22">
        <f>'1. Assumptions'!$D$7*($C$9*(1+'1. Assumptions'!$B$10+'1. Assumptions'!$B$11)+(1/$E$9)*'1. Assumptions'!$B$9)-$B$29</f>
        <v/>
      </c>
      <c r="I29" s="22">
        <f>G29-('1. Assumptions'!$D$7*($C$9*(1+'1. Assumptions'!$B$10+'1. Assumptions'!$B$11)+(1/$E$9)*'1. Assumptions'!$B$9))</f>
        <v/>
      </c>
      <c r="J29" s="23">
        <f>G29-$B$29</f>
        <v/>
      </c>
      <c r="K29" s="22">
        <f>'1. Assumptions'!$E$7*($C$9*(1+'1. Assumptions'!$B$10+'1. Assumptions'!$B$11)+(1/$E$9)*'1. Assumptions'!$E$9)</f>
        <v/>
      </c>
      <c r="L29" s="22">
        <f>'1. Assumptions'!$E$7*($C$9*(1+'1. Assumptions'!$B$10+'1. Assumptions'!$B$11)+(1/$E$9)*'1. Assumptions'!$B$9)-$B$29</f>
        <v/>
      </c>
      <c r="M29" s="22">
        <f>K29-('1. Assumptions'!$E$7*($C$9*(1+'1. Assumptions'!$B$10+'1. Assumptions'!$B$11)+(1/$E$9)*'1. Assumptions'!$B$9))</f>
        <v/>
      </c>
      <c r="N29" s="23">
        <f>K29-$B$29</f>
        <v/>
      </c>
    </row>
    <row r="30">
      <c r="A30" s="6">
        <f>$A$10</f>
        <v/>
      </c>
      <c r="B30" s="22">
        <f>'1. Assumptions'!$B$7*($C$10*(1+'1. Assumptions'!$B$10+'1. Assumptions'!$B$11)+(1/$E$10)*'1. Assumptions'!$B$9)</f>
        <v/>
      </c>
      <c r="C30" s="22">
        <f>'1. Assumptions'!$C$7*($C$10*(1+'1. Assumptions'!$B$10+'1. Assumptions'!$B$11)+(1/$E$10)*'1. Assumptions'!$C$9)</f>
        <v/>
      </c>
      <c r="D30" s="22">
        <f>'1. Assumptions'!$C$7*($C$10*(1+'1. Assumptions'!$B$10+'1. Assumptions'!$B$11)+(1/$E$10)*'1. Assumptions'!$B$9)-$B$30</f>
        <v/>
      </c>
      <c r="E30" s="22">
        <f>C30-('1. Assumptions'!$C$7*($C$10*(1+'1. Assumptions'!$B$10+'1. Assumptions'!$B$11)+(1/$E$10)*'1. Assumptions'!$B$9))</f>
        <v/>
      </c>
      <c r="F30" s="23">
        <f>C30-$B$30</f>
        <v/>
      </c>
      <c r="G30" s="22">
        <f>'1. Assumptions'!$D$7*($C$10*(1+'1. Assumptions'!$B$10+'1. Assumptions'!$B$11)+(1/$E$10)*'1. Assumptions'!$D$9)</f>
        <v/>
      </c>
      <c r="H30" s="22">
        <f>'1. Assumptions'!$D$7*($C$10*(1+'1. Assumptions'!$B$10+'1. Assumptions'!$B$11)+(1/$E$10)*'1. Assumptions'!$B$9)-$B$30</f>
        <v/>
      </c>
      <c r="I30" s="22">
        <f>G30-('1. Assumptions'!$D$7*($C$10*(1+'1. Assumptions'!$B$10+'1. Assumptions'!$B$11)+(1/$E$10)*'1. Assumptions'!$B$9))</f>
        <v/>
      </c>
      <c r="J30" s="23">
        <f>G30-$B$30</f>
        <v/>
      </c>
      <c r="K30" s="22">
        <f>'1. Assumptions'!$E$7*($C$10*(1+'1. Assumptions'!$B$10+'1. Assumptions'!$B$11)+(1/$E$10)*'1. Assumptions'!$E$9)</f>
        <v/>
      </c>
      <c r="L30" s="22">
        <f>'1. Assumptions'!$E$7*($C$10*(1+'1. Assumptions'!$B$10+'1. Assumptions'!$B$11)+(1/$E$10)*'1. Assumptions'!$B$9)-$B$30</f>
        <v/>
      </c>
      <c r="M30" s="22">
        <f>K30-('1. Assumptions'!$E$7*($C$10*(1+'1. Assumptions'!$B$10+'1. Assumptions'!$B$11)+(1/$E$10)*'1. Assumptions'!$B$9))</f>
        <v/>
      </c>
      <c r="N30" s="23">
        <f>K30-$B$30</f>
        <v/>
      </c>
    </row>
    <row r="31">
      <c r="A31" s="6">
        <f>$A$11</f>
        <v/>
      </c>
      <c r="B31" s="22">
        <f>'1. Assumptions'!$B$7*($C$11*(1+'1. Assumptions'!$B$10+'1. Assumptions'!$B$11)+(1/$E$11)*'1. Assumptions'!$B$9)</f>
        <v/>
      </c>
      <c r="C31" s="22">
        <f>'1. Assumptions'!$C$7*($C$11*(1+'1. Assumptions'!$B$10+'1. Assumptions'!$B$11)+(1/$E$11)*'1. Assumptions'!$C$9)</f>
        <v/>
      </c>
      <c r="D31" s="22">
        <f>'1. Assumptions'!$C$7*($C$11*(1+'1. Assumptions'!$B$10+'1. Assumptions'!$B$11)+(1/$E$11)*'1. Assumptions'!$B$9)-$B$31</f>
        <v/>
      </c>
      <c r="E31" s="22">
        <f>C31-('1. Assumptions'!$C$7*($C$11*(1+'1. Assumptions'!$B$10+'1. Assumptions'!$B$11)+(1/$E$11)*'1. Assumptions'!$B$9))</f>
        <v/>
      </c>
      <c r="F31" s="23">
        <f>C31-$B$31</f>
        <v/>
      </c>
      <c r="G31" s="22">
        <f>'1. Assumptions'!$D$7*($C$11*(1+'1. Assumptions'!$B$10+'1. Assumptions'!$B$11)+(1/$E$11)*'1. Assumptions'!$D$9)</f>
        <v/>
      </c>
      <c r="H31" s="22">
        <f>'1. Assumptions'!$D$7*($C$11*(1+'1. Assumptions'!$B$10+'1. Assumptions'!$B$11)+(1/$E$11)*'1. Assumptions'!$B$9)-$B$31</f>
        <v/>
      </c>
      <c r="I31" s="22">
        <f>G31-('1. Assumptions'!$D$7*($C$11*(1+'1. Assumptions'!$B$10+'1. Assumptions'!$B$11)+(1/$E$11)*'1. Assumptions'!$B$9))</f>
        <v/>
      </c>
      <c r="J31" s="23">
        <f>G31-$B$31</f>
        <v/>
      </c>
      <c r="K31" s="22">
        <f>'1. Assumptions'!$E$7*($C$11*(1+'1. Assumptions'!$B$10+'1. Assumptions'!$B$11)+(1/$E$11)*'1. Assumptions'!$E$9)</f>
        <v/>
      </c>
      <c r="L31" s="22">
        <f>'1. Assumptions'!$E$7*($C$11*(1+'1. Assumptions'!$B$10+'1. Assumptions'!$B$11)+(1/$E$11)*'1. Assumptions'!$B$9)-$B$31</f>
        <v/>
      </c>
      <c r="M31" s="22">
        <f>K31-('1. Assumptions'!$E$7*($C$11*(1+'1. Assumptions'!$B$10+'1. Assumptions'!$B$11)+(1/$E$11)*'1. Assumptions'!$B$9))</f>
        <v/>
      </c>
      <c r="N31" s="23">
        <f>K31-$B$31</f>
        <v/>
      </c>
    </row>
    <row r="32">
      <c r="A32" s="24" t="inlineStr">
        <is>
          <t>Average</t>
        </is>
      </c>
      <c r="B32" s="25">
        <f>AVERAGE(B26:B31)</f>
        <v/>
      </c>
      <c r="C32" s="25">
        <f>AVERAGE(C26:C31)</f>
        <v/>
      </c>
      <c r="D32" s="25">
        <f>AVERAGE(D26:D31)</f>
        <v/>
      </c>
      <c r="E32" s="25">
        <f>AVERAGE(E26:E31)</f>
        <v/>
      </c>
      <c r="F32" s="25">
        <f>AVERAGE(F26:F31)</f>
        <v/>
      </c>
      <c r="G32" s="25">
        <f>AVERAGE(G26:G31)</f>
        <v/>
      </c>
      <c r="H32" s="25">
        <f>AVERAGE(H26:H31)</f>
        <v/>
      </c>
      <c r="I32" s="25">
        <f>AVERAGE(I26:I31)</f>
        <v/>
      </c>
      <c r="J32" s="25">
        <f>AVERAGE(J26:J31)</f>
        <v/>
      </c>
      <c r="K32" s="25">
        <f>AVERAGE(K26:K31)</f>
        <v/>
      </c>
      <c r="L32" s="25">
        <f>AVERAGE(L26:L31)</f>
        <v/>
      </c>
      <c r="M32" s="25">
        <f>AVERAGE(M26:M31)</f>
        <v/>
      </c>
      <c r="N32" s="25">
        <f>AVERAGE(N26:N31)</f>
        <v/>
      </c>
    </row>
    <row r="34">
      <c r="A34" s="2" t="inlineStr">
        <is>
          <t>Read it like this:  under Severe, compare each SKU's FX Δ against its Freight Δ to see which shock is doing the damage. Light, high-value SKUs are FX-led; bulky, heavy SKUs are freight-led.</t>
        </is>
      </c>
    </row>
    <row r="35"/>
  </sheetData>
  <mergeCells count="6">
    <mergeCell ref="A4:N4"/>
    <mergeCell ref="A34:N35"/>
    <mergeCell ref="A24:N24"/>
    <mergeCell ref="A2:N2"/>
    <mergeCell ref="A13:N13"/>
    <mergeCell ref="A1:N1"/>
  </mergeCells>
  <conditionalFormatting sqref="F15:F21">
    <cfRule type="cellIs" priority="1" operator="greaterThan" dxfId="0">
      <formula>0</formula>
    </cfRule>
  </conditionalFormatting>
  <conditionalFormatting sqref="J15:J21">
    <cfRule type="cellIs" priority="2" operator="greaterThan" dxfId="0">
      <formula>0</formula>
    </cfRule>
  </conditionalFormatting>
  <conditionalFormatting sqref="N15:N21">
    <cfRule type="cellIs" priority="3" operator="greaterThan" dxfId="0">
      <formula>0</formula>
    </cfRule>
  </conditionalFormatting>
  <conditionalFormatting sqref="F26:F32">
    <cfRule type="cellIs" priority="4" operator="greaterThan" dxfId="0">
      <formula>0</formula>
    </cfRule>
  </conditionalFormatting>
  <conditionalFormatting sqref="J26:J32">
    <cfRule type="cellIs" priority="5" operator="greaterThan" dxfId="0">
      <formula>0</formula>
    </cfRule>
  </conditionalFormatting>
  <conditionalFormatting sqref="N26:N32">
    <cfRule type="cellIs" priority="6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Revenue Scenario  —  Monthly by Segment, Elasticity-Driven</t>
        </is>
      </c>
    </row>
    <row r="2" ht="26" customHeight="1">
      <c r="A2" s="2" t="inlineStr">
        <is>
          <t>Scenario revenue = Plan × (1 + consumer-spending move × segment elasticity). Price is held constant, so the move is pure volume. Variance columns are scenario minus plan (negatives in red).</t>
        </is>
      </c>
    </row>
    <row r="4" ht="18" customHeight="1">
      <c r="A4" s="3" t="inlineStr">
        <is>
          <t>PREMIUM SEGMENT</t>
        </is>
      </c>
    </row>
    <row r="5" ht="28" customHeight="1">
      <c r="A5" s="4" t="inlineStr">
        <is>
          <t>Month</t>
        </is>
      </c>
      <c r="B5" s="5" t="inlineStr">
        <is>
          <t>Plan (AUD)</t>
        </is>
      </c>
      <c r="C5" s="5" t="inlineStr">
        <is>
          <t>Base</t>
        </is>
      </c>
      <c r="D5" s="5" t="inlineStr">
        <is>
          <t>Moderate</t>
        </is>
      </c>
      <c r="E5" s="5" t="inlineStr">
        <is>
          <t>Severe</t>
        </is>
      </c>
      <c r="F5" s="5" t="inlineStr">
        <is>
          <t>Var Base</t>
        </is>
      </c>
      <c r="G5" s="5" t="inlineStr">
        <is>
          <t>Var Moderate</t>
        </is>
      </c>
      <c r="H5" s="5" t="inlineStr">
        <is>
          <t>Var Severe</t>
        </is>
      </c>
    </row>
    <row r="6">
      <c r="A6" s="6" t="inlineStr">
        <is>
          <t>Sep 2026</t>
        </is>
      </c>
      <c r="B6" s="26" t="n">
        <v>180000</v>
      </c>
      <c r="C6" s="27">
        <f>$B6*(1+'1. Assumptions'!$C$12*'1. Assumptions'!$B$17)</f>
        <v/>
      </c>
      <c r="D6" s="27">
        <f>$B6*(1+'1. Assumptions'!$D$12*'1. Assumptions'!$B$17)</f>
        <v/>
      </c>
      <c r="E6" s="27">
        <f>$B6*(1+'1. Assumptions'!$E$12*'1. Assumptions'!$B$17)</f>
        <v/>
      </c>
      <c r="F6" s="27">
        <f>C6-$B6</f>
        <v/>
      </c>
      <c r="G6" s="27">
        <f>D6-$B6</f>
        <v/>
      </c>
      <c r="H6" s="27">
        <f>E6-$B6</f>
        <v/>
      </c>
    </row>
    <row r="7">
      <c r="A7" s="6" t="inlineStr">
        <is>
          <t>Oct 2026</t>
        </is>
      </c>
      <c r="B7" s="26" t="n">
        <v>189000</v>
      </c>
      <c r="C7" s="27">
        <f>$B7*(1+'1. Assumptions'!$C$12*'1. Assumptions'!$B$17)</f>
        <v/>
      </c>
      <c r="D7" s="27">
        <f>$B7*(1+'1. Assumptions'!$D$12*'1. Assumptions'!$B$17)</f>
        <v/>
      </c>
      <c r="E7" s="27">
        <f>$B7*(1+'1. Assumptions'!$E$12*'1. Assumptions'!$B$17)</f>
        <v/>
      </c>
      <c r="F7" s="27">
        <f>C7-$B7</f>
        <v/>
      </c>
      <c r="G7" s="27">
        <f>D7-$B7</f>
        <v/>
      </c>
      <c r="H7" s="27">
        <f>E7-$B7</f>
        <v/>
      </c>
    </row>
    <row r="8">
      <c r="A8" s="6" t="inlineStr">
        <is>
          <t>Nov 2026</t>
        </is>
      </c>
      <c r="B8" s="26" t="n">
        <v>234000</v>
      </c>
      <c r="C8" s="27">
        <f>$B8*(1+'1. Assumptions'!$C$12*'1. Assumptions'!$B$17)</f>
        <v/>
      </c>
      <c r="D8" s="27">
        <f>$B8*(1+'1. Assumptions'!$D$12*'1. Assumptions'!$B$17)</f>
        <v/>
      </c>
      <c r="E8" s="27">
        <f>$B8*(1+'1. Assumptions'!$E$12*'1. Assumptions'!$B$17)</f>
        <v/>
      </c>
      <c r="F8" s="27">
        <f>C8-$B8</f>
        <v/>
      </c>
      <c r="G8" s="27">
        <f>D8-$B8</f>
        <v/>
      </c>
      <c r="H8" s="27">
        <f>E8-$B8</f>
        <v/>
      </c>
    </row>
    <row r="9">
      <c r="A9" s="6" t="inlineStr">
        <is>
          <t>Dec 2026</t>
        </is>
      </c>
      <c r="B9" s="26" t="n">
        <v>243000</v>
      </c>
      <c r="C9" s="27">
        <f>$B9*(1+'1. Assumptions'!$C$12*'1. Assumptions'!$B$17)</f>
        <v/>
      </c>
      <c r="D9" s="27">
        <f>$B9*(1+'1. Assumptions'!$D$12*'1. Assumptions'!$B$17)</f>
        <v/>
      </c>
      <c r="E9" s="27">
        <f>$B9*(1+'1. Assumptions'!$E$12*'1. Assumptions'!$B$17)</f>
        <v/>
      </c>
      <c r="F9" s="27">
        <f>C9-$B9</f>
        <v/>
      </c>
      <c r="G9" s="27">
        <f>D9-$B9</f>
        <v/>
      </c>
      <c r="H9" s="27">
        <f>E9-$B9</f>
        <v/>
      </c>
    </row>
    <row r="10">
      <c r="A10" s="6" t="inlineStr">
        <is>
          <t>Jan 2027</t>
        </is>
      </c>
      <c r="B10" s="26" t="n">
        <v>144000</v>
      </c>
      <c r="C10" s="27">
        <f>$B10*(1+'1. Assumptions'!$C$12*'1. Assumptions'!$B$17)</f>
        <v/>
      </c>
      <c r="D10" s="27">
        <f>$B10*(1+'1. Assumptions'!$D$12*'1. Assumptions'!$B$17)</f>
        <v/>
      </c>
      <c r="E10" s="27">
        <f>$B10*(1+'1. Assumptions'!$E$12*'1. Assumptions'!$B$17)</f>
        <v/>
      </c>
      <c r="F10" s="27">
        <f>C10-$B10</f>
        <v/>
      </c>
      <c r="G10" s="27">
        <f>D10-$B10</f>
        <v/>
      </c>
      <c r="H10" s="27">
        <f>E10-$B10</f>
        <v/>
      </c>
    </row>
    <row r="11">
      <c r="A11" s="6" t="inlineStr">
        <is>
          <t>Feb 2027</t>
        </is>
      </c>
      <c r="B11" s="26" t="n">
        <v>153000</v>
      </c>
      <c r="C11" s="27">
        <f>$B11*(1+'1. Assumptions'!$C$12*'1. Assumptions'!$B$17)</f>
        <v/>
      </c>
      <c r="D11" s="27">
        <f>$B11*(1+'1. Assumptions'!$D$12*'1. Assumptions'!$B$17)</f>
        <v/>
      </c>
      <c r="E11" s="27">
        <f>$B11*(1+'1. Assumptions'!$E$12*'1. Assumptions'!$B$17)</f>
        <v/>
      </c>
      <c r="F11" s="27">
        <f>C11-$B11</f>
        <v/>
      </c>
      <c r="G11" s="27">
        <f>D11-$B11</f>
        <v/>
      </c>
      <c r="H11" s="27">
        <f>E11-$B11</f>
        <v/>
      </c>
    </row>
    <row r="12">
      <c r="A12" s="6" t="inlineStr">
        <is>
          <t>Mar 2027</t>
        </is>
      </c>
      <c r="B12" s="26" t="n">
        <v>171000</v>
      </c>
      <c r="C12" s="27">
        <f>$B12*(1+'1. Assumptions'!$C$12*'1. Assumptions'!$B$17)</f>
        <v/>
      </c>
      <c r="D12" s="27">
        <f>$B12*(1+'1. Assumptions'!$D$12*'1. Assumptions'!$B$17)</f>
        <v/>
      </c>
      <c r="E12" s="27">
        <f>$B12*(1+'1. Assumptions'!$E$12*'1. Assumptions'!$B$17)</f>
        <v/>
      </c>
      <c r="F12" s="27">
        <f>C12-$B12</f>
        <v/>
      </c>
      <c r="G12" s="27">
        <f>D12-$B12</f>
        <v/>
      </c>
      <c r="H12" s="27">
        <f>E12-$B12</f>
        <v/>
      </c>
    </row>
    <row r="13">
      <c r="A13" s="6" t="inlineStr">
        <is>
          <t>Apr 2027</t>
        </is>
      </c>
      <c r="B13" s="26" t="n">
        <v>180000</v>
      </c>
      <c r="C13" s="27">
        <f>$B13*(1+'1. Assumptions'!$C$12*'1. Assumptions'!$B$17)</f>
        <v/>
      </c>
      <c r="D13" s="27">
        <f>$B13*(1+'1. Assumptions'!$D$12*'1. Assumptions'!$B$17)</f>
        <v/>
      </c>
      <c r="E13" s="27">
        <f>$B13*(1+'1. Assumptions'!$E$12*'1. Assumptions'!$B$17)</f>
        <v/>
      </c>
      <c r="F13" s="27">
        <f>C13-$B13</f>
        <v/>
      </c>
      <c r="G13" s="27">
        <f>D13-$B13</f>
        <v/>
      </c>
      <c r="H13" s="27">
        <f>E13-$B13</f>
        <v/>
      </c>
    </row>
    <row r="14">
      <c r="A14" s="6" t="inlineStr">
        <is>
          <t>May 2027</t>
        </is>
      </c>
      <c r="B14" s="26" t="n">
        <v>189000</v>
      </c>
      <c r="C14" s="27">
        <f>$B14*(1+'1. Assumptions'!$C$12*'1. Assumptions'!$B$17)</f>
        <v/>
      </c>
      <c r="D14" s="27">
        <f>$B14*(1+'1. Assumptions'!$D$12*'1. Assumptions'!$B$17)</f>
        <v/>
      </c>
      <c r="E14" s="27">
        <f>$B14*(1+'1. Assumptions'!$E$12*'1. Assumptions'!$B$17)</f>
        <v/>
      </c>
      <c r="F14" s="27">
        <f>C14-$B14</f>
        <v/>
      </c>
      <c r="G14" s="27">
        <f>D14-$B14</f>
        <v/>
      </c>
      <c r="H14" s="27">
        <f>E14-$B14</f>
        <v/>
      </c>
    </row>
    <row r="15">
      <c r="A15" s="6" t="inlineStr">
        <is>
          <t>Jun 2027</t>
        </is>
      </c>
      <c r="B15" s="26" t="n">
        <v>198000</v>
      </c>
      <c r="C15" s="27">
        <f>$B15*(1+'1. Assumptions'!$C$12*'1. Assumptions'!$B$17)</f>
        <v/>
      </c>
      <c r="D15" s="27">
        <f>$B15*(1+'1. Assumptions'!$D$12*'1. Assumptions'!$B$17)</f>
        <v/>
      </c>
      <c r="E15" s="27">
        <f>$B15*(1+'1. Assumptions'!$E$12*'1. Assumptions'!$B$17)</f>
        <v/>
      </c>
      <c r="F15" s="27">
        <f>C15-$B15</f>
        <v/>
      </c>
      <c r="G15" s="27">
        <f>D15-$B15</f>
        <v/>
      </c>
      <c r="H15" s="27">
        <f>E15-$B15</f>
        <v/>
      </c>
    </row>
    <row r="16">
      <c r="A16" s="21" t="inlineStr">
        <is>
          <t>PREMIUM subtotal</t>
        </is>
      </c>
      <c r="B16" s="28">
        <f>SUM(B6:B15)</f>
        <v/>
      </c>
      <c r="C16" s="28">
        <f>SUM(C6:C15)</f>
        <v/>
      </c>
      <c r="D16" s="28">
        <f>SUM(D6:D15)</f>
        <v/>
      </c>
      <c r="E16" s="28">
        <f>SUM(E6:E15)</f>
        <v/>
      </c>
      <c r="F16" s="28">
        <f>SUM(F6:F15)</f>
        <v/>
      </c>
      <c r="G16" s="28">
        <f>SUM(G6:G15)</f>
        <v/>
      </c>
      <c r="H16" s="28">
        <f>SUM(H6:H15)</f>
        <v/>
      </c>
    </row>
    <row r="18" ht="18" customHeight="1">
      <c r="A18" s="3" t="inlineStr">
        <is>
          <t>CORE SEGMENT</t>
        </is>
      </c>
    </row>
    <row r="19" ht="28" customHeight="1">
      <c r="A19" s="4" t="inlineStr">
        <is>
          <t>Month</t>
        </is>
      </c>
      <c r="B19" s="5" t="inlineStr">
        <is>
          <t>Plan (AUD)</t>
        </is>
      </c>
      <c r="C19" s="5" t="inlineStr">
        <is>
          <t>Base</t>
        </is>
      </c>
      <c r="D19" s="5" t="inlineStr">
        <is>
          <t>Moderate</t>
        </is>
      </c>
      <c r="E19" s="5" t="inlineStr">
        <is>
          <t>Severe</t>
        </is>
      </c>
      <c r="F19" s="5" t="inlineStr">
        <is>
          <t>Var Base</t>
        </is>
      </c>
      <c r="G19" s="5" t="inlineStr">
        <is>
          <t>Var Moderate</t>
        </is>
      </c>
      <c r="H19" s="5" t="inlineStr">
        <is>
          <t>Var Severe</t>
        </is>
      </c>
    </row>
    <row r="20">
      <c r="A20" s="6" t="inlineStr">
        <is>
          <t>Sep 2026</t>
        </is>
      </c>
      <c r="B20" s="26" t="n">
        <v>320000</v>
      </c>
      <c r="C20" s="27">
        <f>$B20*(1+'1. Assumptions'!$C$12*'1. Assumptions'!$B$18)</f>
        <v/>
      </c>
      <c r="D20" s="27">
        <f>$B20*(1+'1. Assumptions'!$D$12*'1. Assumptions'!$B$18)</f>
        <v/>
      </c>
      <c r="E20" s="27">
        <f>$B20*(1+'1. Assumptions'!$E$12*'1. Assumptions'!$B$18)</f>
        <v/>
      </c>
      <c r="F20" s="27">
        <f>C20-$B20</f>
        <v/>
      </c>
      <c r="G20" s="27">
        <f>D20-$B20</f>
        <v/>
      </c>
      <c r="H20" s="27">
        <f>E20-$B20</f>
        <v/>
      </c>
    </row>
    <row r="21">
      <c r="A21" s="6" t="inlineStr">
        <is>
          <t>Oct 2026</t>
        </is>
      </c>
      <c r="B21" s="26" t="n">
        <v>336000</v>
      </c>
      <c r="C21" s="27">
        <f>$B21*(1+'1. Assumptions'!$C$12*'1. Assumptions'!$B$18)</f>
        <v/>
      </c>
      <c r="D21" s="27">
        <f>$B21*(1+'1. Assumptions'!$D$12*'1. Assumptions'!$B$18)</f>
        <v/>
      </c>
      <c r="E21" s="27">
        <f>$B21*(1+'1. Assumptions'!$E$12*'1. Assumptions'!$B$18)</f>
        <v/>
      </c>
      <c r="F21" s="27">
        <f>C21-$B21</f>
        <v/>
      </c>
      <c r="G21" s="27">
        <f>D21-$B21</f>
        <v/>
      </c>
      <c r="H21" s="27">
        <f>E21-$B21</f>
        <v/>
      </c>
    </row>
    <row r="22">
      <c r="A22" s="6" t="inlineStr">
        <is>
          <t>Nov 2026</t>
        </is>
      </c>
      <c r="B22" s="26" t="n">
        <v>416000</v>
      </c>
      <c r="C22" s="27">
        <f>$B22*(1+'1. Assumptions'!$C$12*'1. Assumptions'!$B$18)</f>
        <v/>
      </c>
      <c r="D22" s="27">
        <f>$B22*(1+'1. Assumptions'!$D$12*'1. Assumptions'!$B$18)</f>
        <v/>
      </c>
      <c r="E22" s="27">
        <f>$B22*(1+'1. Assumptions'!$E$12*'1. Assumptions'!$B$18)</f>
        <v/>
      </c>
      <c r="F22" s="27">
        <f>C22-$B22</f>
        <v/>
      </c>
      <c r="G22" s="27">
        <f>D22-$B22</f>
        <v/>
      </c>
      <c r="H22" s="27">
        <f>E22-$B22</f>
        <v/>
      </c>
    </row>
    <row r="23">
      <c r="A23" s="6" t="inlineStr">
        <is>
          <t>Dec 2026</t>
        </is>
      </c>
      <c r="B23" s="26" t="n">
        <v>432000</v>
      </c>
      <c r="C23" s="27">
        <f>$B23*(1+'1. Assumptions'!$C$12*'1. Assumptions'!$B$18)</f>
        <v/>
      </c>
      <c r="D23" s="27">
        <f>$B23*(1+'1. Assumptions'!$D$12*'1. Assumptions'!$B$18)</f>
        <v/>
      </c>
      <c r="E23" s="27">
        <f>$B23*(1+'1. Assumptions'!$E$12*'1. Assumptions'!$B$18)</f>
        <v/>
      </c>
      <c r="F23" s="27">
        <f>C23-$B23</f>
        <v/>
      </c>
      <c r="G23" s="27">
        <f>D23-$B23</f>
        <v/>
      </c>
      <c r="H23" s="27">
        <f>E23-$B23</f>
        <v/>
      </c>
    </row>
    <row r="24">
      <c r="A24" s="6" t="inlineStr">
        <is>
          <t>Jan 2027</t>
        </is>
      </c>
      <c r="B24" s="26" t="n">
        <v>256000</v>
      </c>
      <c r="C24" s="27">
        <f>$B24*(1+'1. Assumptions'!$C$12*'1. Assumptions'!$B$18)</f>
        <v/>
      </c>
      <c r="D24" s="27">
        <f>$B24*(1+'1. Assumptions'!$D$12*'1. Assumptions'!$B$18)</f>
        <v/>
      </c>
      <c r="E24" s="27">
        <f>$B24*(1+'1. Assumptions'!$E$12*'1. Assumptions'!$B$18)</f>
        <v/>
      </c>
      <c r="F24" s="27">
        <f>C24-$B24</f>
        <v/>
      </c>
      <c r="G24" s="27">
        <f>D24-$B24</f>
        <v/>
      </c>
      <c r="H24" s="27">
        <f>E24-$B24</f>
        <v/>
      </c>
    </row>
    <row r="25">
      <c r="A25" s="6" t="inlineStr">
        <is>
          <t>Feb 2027</t>
        </is>
      </c>
      <c r="B25" s="26" t="n">
        <v>272000</v>
      </c>
      <c r="C25" s="27">
        <f>$B25*(1+'1. Assumptions'!$C$12*'1. Assumptions'!$B$18)</f>
        <v/>
      </c>
      <c r="D25" s="27">
        <f>$B25*(1+'1. Assumptions'!$D$12*'1. Assumptions'!$B$18)</f>
        <v/>
      </c>
      <c r="E25" s="27">
        <f>$B25*(1+'1. Assumptions'!$E$12*'1. Assumptions'!$B$18)</f>
        <v/>
      </c>
      <c r="F25" s="27">
        <f>C25-$B25</f>
        <v/>
      </c>
      <c r="G25" s="27">
        <f>D25-$B25</f>
        <v/>
      </c>
      <c r="H25" s="27">
        <f>E25-$B25</f>
        <v/>
      </c>
    </row>
    <row r="26">
      <c r="A26" s="6" t="inlineStr">
        <is>
          <t>Mar 2027</t>
        </is>
      </c>
      <c r="B26" s="26" t="n">
        <v>304000</v>
      </c>
      <c r="C26" s="27">
        <f>$B26*(1+'1. Assumptions'!$C$12*'1. Assumptions'!$B$18)</f>
        <v/>
      </c>
      <c r="D26" s="27">
        <f>$B26*(1+'1. Assumptions'!$D$12*'1. Assumptions'!$B$18)</f>
        <v/>
      </c>
      <c r="E26" s="27">
        <f>$B26*(1+'1. Assumptions'!$E$12*'1. Assumptions'!$B$18)</f>
        <v/>
      </c>
      <c r="F26" s="27">
        <f>C26-$B26</f>
        <v/>
      </c>
      <c r="G26" s="27">
        <f>D26-$B26</f>
        <v/>
      </c>
      <c r="H26" s="27">
        <f>E26-$B26</f>
        <v/>
      </c>
    </row>
    <row r="27">
      <c r="A27" s="6" t="inlineStr">
        <is>
          <t>Apr 2027</t>
        </is>
      </c>
      <c r="B27" s="26" t="n">
        <v>320000</v>
      </c>
      <c r="C27" s="27">
        <f>$B27*(1+'1. Assumptions'!$C$12*'1. Assumptions'!$B$18)</f>
        <v/>
      </c>
      <c r="D27" s="27">
        <f>$B27*(1+'1. Assumptions'!$D$12*'1. Assumptions'!$B$18)</f>
        <v/>
      </c>
      <c r="E27" s="27">
        <f>$B27*(1+'1. Assumptions'!$E$12*'1. Assumptions'!$B$18)</f>
        <v/>
      </c>
      <c r="F27" s="27">
        <f>C27-$B27</f>
        <v/>
      </c>
      <c r="G27" s="27">
        <f>D27-$B27</f>
        <v/>
      </c>
      <c r="H27" s="27">
        <f>E27-$B27</f>
        <v/>
      </c>
    </row>
    <row r="28">
      <c r="A28" s="6" t="inlineStr">
        <is>
          <t>May 2027</t>
        </is>
      </c>
      <c r="B28" s="26" t="n">
        <v>336000</v>
      </c>
      <c r="C28" s="27">
        <f>$B28*(1+'1. Assumptions'!$C$12*'1. Assumptions'!$B$18)</f>
        <v/>
      </c>
      <c r="D28" s="27">
        <f>$B28*(1+'1. Assumptions'!$D$12*'1. Assumptions'!$B$18)</f>
        <v/>
      </c>
      <c r="E28" s="27">
        <f>$B28*(1+'1. Assumptions'!$E$12*'1. Assumptions'!$B$18)</f>
        <v/>
      </c>
      <c r="F28" s="27">
        <f>C28-$B28</f>
        <v/>
      </c>
      <c r="G28" s="27">
        <f>D28-$B28</f>
        <v/>
      </c>
      <c r="H28" s="27">
        <f>E28-$B28</f>
        <v/>
      </c>
    </row>
    <row r="29">
      <c r="A29" s="6" t="inlineStr">
        <is>
          <t>Jun 2027</t>
        </is>
      </c>
      <c r="B29" s="26" t="n">
        <v>352000</v>
      </c>
      <c r="C29" s="27">
        <f>$B29*(1+'1. Assumptions'!$C$12*'1. Assumptions'!$B$18)</f>
        <v/>
      </c>
      <c r="D29" s="27">
        <f>$B29*(1+'1. Assumptions'!$D$12*'1. Assumptions'!$B$18)</f>
        <v/>
      </c>
      <c r="E29" s="27">
        <f>$B29*(1+'1. Assumptions'!$E$12*'1. Assumptions'!$B$18)</f>
        <v/>
      </c>
      <c r="F29" s="27">
        <f>C29-$B29</f>
        <v/>
      </c>
      <c r="G29" s="27">
        <f>D29-$B29</f>
        <v/>
      </c>
      <c r="H29" s="27">
        <f>E29-$B29</f>
        <v/>
      </c>
    </row>
    <row r="30">
      <c r="A30" s="21" t="inlineStr">
        <is>
          <t>CORE subtotal</t>
        </is>
      </c>
      <c r="B30" s="28">
        <f>SUM(B20:B29)</f>
        <v/>
      </c>
      <c r="C30" s="28">
        <f>SUM(C20:C29)</f>
        <v/>
      </c>
      <c r="D30" s="28">
        <f>SUM(D20:D29)</f>
        <v/>
      </c>
      <c r="E30" s="28">
        <f>SUM(E20:E29)</f>
        <v/>
      </c>
      <c r="F30" s="28">
        <f>SUM(F20:F29)</f>
        <v/>
      </c>
      <c r="G30" s="28">
        <f>SUM(G20:G29)</f>
        <v/>
      </c>
      <c r="H30" s="28">
        <f>SUM(H20:H29)</f>
        <v/>
      </c>
    </row>
    <row r="32" ht="18" customHeight="1">
      <c r="A32" s="3" t="inlineStr">
        <is>
          <t>VALUE SEGMENT</t>
        </is>
      </c>
    </row>
    <row r="33" ht="28" customHeight="1">
      <c r="A33" s="4" t="inlineStr">
        <is>
          <t>Month</t>
        </is>
      </c>
      <c r="B33" s="5" t="inlineStr">
        <is>
          <t>Plan (AUD)</t>
        </is>
      </c>
      <c r="C33" s="5" t="inlineStr">
        <is>
          <t>Base</t>
        </is>
      </c>
      <c r="D33" s="5" t="inlineStr">
        <is>
          <t>Moderate</t>
        </is>
      </c>
      <c r="E33" s="5" t="inlineStr">
        <is>
          <t>Severe</t>
        </is>
      </c>
      <c r="F33" s="5" t="inlineStr">
        <is>
          <t>Var Base</t>
        </is>
      </c>
      <c r="G33" s="5" t="inlineStr">
        <is>
          <t>Var Moderate</t>
        </is>
      </c>
      <c r="H33" s="5" t="inlineStr">
        <is>
          <t>Var Severe</t>
        </is>
      </c>
    </row>
    <row r="34">
      <c r="A34" s="6" t="inlineStr">
        <is>
          <t>Sep 2026</t>
        </is>
      </c>
      <c r="B34" s="26" t="n">
        <v>150000</v>
      </c>
      <c r="C34" s="27">
        <f>$B34*(1+'1. Assumptions'!$C$12*'1. Assumptions'!$B$19)</f>
        <v/>
      </c>
      <c r="D34" s="27">
        <f>$B34*(1+'1. Assumptions'!$D$12*'1. Assumptions'!$B$19)</f>
        <v/>
      </c>
      <c r="E34" s="27">
        <f>$B34*(1+'1. Assumptions'!$E$12*'1. Assumptions'!$B$19)</f>
        <v/>
      </c>
      <c r="F34" s="27">
        <f>C34-$B34</f>
        <v/>
      </c>
      <c r="G34" s="27">
        <f>D34-$B34</f>
        <v/>
      </c>
      <c r="H34" s="27">
        <f>E34-$B34</f>
        <v/>
      </c>
    </row>
    <row r="35">
      <c r="A35" s="6" t="inlineStr">
        <is>
          <t>Oct 2026</t>
        </is>
      </c>
      <c r="B35" s="26" t="n">
        <v>157500</v>
      </c>
      <c r="C35" s="27">
        <f>$B35*(1+'1. Assumptions'!$C$12*'1. Assumptions'!$B$19)</f>
        <v/>
      </c>
      <c r="D35" s="27">
        <f>$B35*(1+'1. Assumptions'!$D$12*'1. Assumptions'!$B$19)</f>
        <v/>
      </c>
      <c r="E35" s="27">
        <f>$B35*(1+'1. Assumptions'!$E$12*'1. Assumptions'!$B$19)</f>
        <v/>
      </c>
      <c r="F35" s="27">
        <f>C35-$B35</f>
        <v/>
      </c>
      <c r="G35" s="27">
        <f>D35-$B35</f>
        <v/>
      </c>
      <c r="H35" s="27">
        <f>E35-$B35</f>
        <v/>
      </c>
    </row>
    <row r="36">
      <c r="A36" s="6" t="inlineStr">
        <is>
          <t>Nov 2026</t>
        </is>
      </c>
      <c r="B36" s="26" t="n">
        <v>195000</v>
      </c>
      <c r="C36" s="27">
        <f>$B36*(1+'1. Assumptions'!$C$12*'1. Assumptions'!$B$19)</f>
        <v/>
      </c>
      <c r="D36" s="27">
        <f>$B36*(1+'1. Assumptions'!$D$12*'1. Assumptions'!$B$19)</f>
        <v/>
      </c>
      <c r="E36" s="27">
        <f>$B36*(1+'1. Assumptions'!$E$12*'1. Assumptions'!$B$19)</f>
        <v/>
      </c>
      <c r="F36" s="27">
        <f>C36-$B36</f>
        <v/>
      </c>
      <c r="G36" s="27">
        <f>D36-$B36</f>
        <v/>
      </c>
      <c r="H36" s="27">
        <f>E36-$B36</f>
        <v/>
      </c>
    </row>
    <row r="37">
      <c r="A37" s="6" t="inlineStr">
        <is>
          <t>Dec 2026</t>
        </is>
      </c>
      <c r="B37" s="26" t="n">
        <v>202500</v>
      </c>
      <c r="C37" s="27">
        <f>$B37*(1+'1. Assumptions'!$C$12*'1. Assumptions'!$B$19)</f>
        <v/>
      </c>
      <c r="D37" s="27">
        <f>$B37*(1+'1. Assumptions'!$D$12*'1. Assumptions'!$B$19)</f>
        <v/>
      </c>
      <c r="E37" s="27">
        <f>$B37*(1+'1. Assumptions'!$E$12*'1. Assumptions'!$B$19)</f>
        <v/>
      </c>
      <c r="F37" s="27">
        <f>C37-$B37</f>
        <v/>
      </c>
      <c r="G37" s="27">
        <f>D37-$B37</f>
        <v/>
      </c>
      <c r="H37" s="27">
        <f>E37-$B37</f>
        <v/>
      </c>
    </row>
    <row r="38">
      <c r="A38" s="6" t="inlineStr">
        <is>
          <t>Jan 2027</t>
        </is>
      </c>
      <c r="B38" s="26" t="n">
        <v>120000</v>
      </c>
      <c r="C38" s="27">
        <f>$B38*(1+'1. Assumptions'!$C$12*'1. Assumptions'!$B$19)</f>
        <v/>
      </c>
      <c r="D38" s="27">
        <f>$B38*(1+'1. Assumptions'!$D$12*'1. Assumptions'!$B$19)</f>
        <v/>
      </c>
      <c r="E38" s="27">
        <f>$B38*(1+'1. Assumptions'!$E$12*'1. Assumptions'!$B$19)</f>
        <v/>
      </c>
      <c r="F38" s="27">
        <f>C38-$B38</f>
        <v/>
      </c>
      <c r="G38" s="27">
        <f>D38-$B38</f>
        <v/>
      </c>
      <c r="H38" s="27">
        <f>E38-$B38</f>
        <v/>
      </c>
    </row>
    <row r="39">
      <c r="A39" s="6" t="inlineStr">
        <is>
          <t>Feb 2027</t>
        </is>
      </c>
      <c r="B39" s="26" t="n">
        <v>127500</v>
      </c>
      <c r="C39" s="27">
        <f>$B39*(1+'1. Assumptions'!$C$12*'1. Assumptions'!$B$19)</f>
        <v/>
      </c>
      <c r="D39" s="27">
        <f>$B39*(1+'1. Assumptions'!$D$12*'1. Assumptions'!$B$19)</f>
        <v/>
      </c>
      <c r="E39" s="27">
        <f>$B39*(1+'1. Assumptions'!$E$12*'1. Assumptions'!$B$19)</f>
        <v/>
      </c>
      <c r="F39" s="27">
        <f>C39-$B39</f>
        <v/>
      </c>
      <c r="G39" s="27">
        <f>D39-$B39</f>
        <v/>
      </c>
      <c r="H39" s="27">
        <f>E39-$B39</f>
        <v/>
      </c>
    </row>
    <row r="40">
      <c r="A40" s="6" t="inlineStr">
        <is>
          <t>Mar 2027</t>
        </is>
      </c>
      <c r="B40" s="26" t="n">
        <v>142500</v>
      </c>
      <c r="C40" s="27">
        <f>$B40*(1+'1. Assumptions'!$C$12*'1. Assumptions'!$B$19)</f>
        <v/>
      </c>
      <c r="D40" s="27">
        <f>$B40*(1+'1. Assumptions'!$D$12*'1. Assumptions'!$B$19)</f>
        <v/>
      </c>
      <c r="E40" s="27">
        <f>$B40*(1+'1. Assumptions'!$E$12*'1. Assumptions'!$B$19)</f>
        <v/>
      </c>
      <c r="F40" s="27">
        <f>C40-$B40</f>
        <v/>
      </c>
      <c r="G40" s="27">
        <f>D40-$B40</f>
        <v/>
      </c>
      <c r="H40" s="27">
        <f>E40-$B40</f>
        <v/>
      </c>
    </row>
    <row r="41">
      <c r="A41" s="6" t="inlineStr">
        <is>
          <t>Apr 2027</t>
        </is>
      </c>
      <c r="B41" s="26" t="n">
        <v>150000</v>
      </c>
      <c r="C41" s="27">
        <f>$B41*(1+'1. Assumptions'!$C$12*'1. Assumptions'!$B$19)</f>
        <v/>
      </c>
      <c r="D41" s="27">
        <f>$B41*(1+'1. Assumptions'!$D$12*'1. Assumptions'!$B$19)</f>
        <v/>
      </c>
      <c r="E41" s="27">
        <f>$B41*(1+'1. Assumptions'!$E$12*'1. Assumptions'!$B$19)</f>
        <v/>
      </c>
      <c r="F41" s="27">
        <f>C41-$B41</f>
        <v/>
      </c>
      <c r="G41" s="27">
        <f>D41-$B41</f>
        <v/>
      </c>
      <c r="H41" s="27">
        <f>E41-$B41</f>
        <v/>
      </c>
    </row>
    <row r="42">
      <c r="A42" s="6" t="inlineStr">
        <is>
          <t>May 2027</t>
        </is>
      </c>
      <c r="B42" s="26" t="n">
        <v>157500</v>
      </c>
      <c r="C42" s="27">
        <f>$B42*(1+'1. Assumptions'!$C$12*'1. Assumptions'!$B$19)</f>
        <v/>
      </c>
      <c r="D42" s="27">
        <f>$B42*(1+'1. Assumptions'!$D$12*'1. Assumptions'!$B$19)</f>
        <v/>
      </c>
      <c r="E42" s="27">
        <f>$B42*(1+'1. Assumptions'!$E$12*'1. Assumptions'!$B$19)</f>
        <v/>
      </c>
      <c r="F42" s="27">
        <f>C42-$B42</f>
        <v/>
      </c>
      <c r="G42" s="27">
        <f>D42-$B42</f>
        <v/>
      </c>
      <c r="H42" s="27">
        <f>E42-$B42</f>
        <v/>
      </c>
    </row>
    <row r="43">
      <c r="A43" s="6" t="inlineStr">
        <is>
          <t>Jun 2027</t>
        </is>
      </c>
      <c r="B43" s="26" t="n">
        <v>165000</v>
      </c>
      <c r="C43" s="27">
        <f>$B43*(1+'1. Assumptions'!$C$12*'1. Assumptions'!$B$19)</f>
        <v/>
      </c>
      <c r="D43" s="27">
        <f>$B43*(1+'1. Assumptions'!$D$12*'1. Assumptions'!$B$19)</f>
        <v/>
      </c>
      <c r="E43" s="27">
        <f>$B43*(1+'1. Assumptions'!$E$12*'1. Assumptions'!$B$19)</f>
        <v/>
      </c>
      <c r="F43" s="27">
        <f>C43-$B43</f>
        <v/>
      </c>
      <c r="G43" s="27">
        <f>D43-$B43</f>
        <v/>
      </c>
      <c r="H43" s="27">
        <f>E43-$B43</f>
        <v/>
      </c>
    </row>
    <row r="44">
      <c r="A44" s="21" t="inlineStr">
        <is>
          <t>VALUE subtotal</t>
        </is>
      </c>
      <c r="B44" s="28">
        <f>SUM(B34:B43)</f>
        <v/>
      </c>
      <c r="C44" s="28">
        <f>SUM(C34:C43)</f>
        <v/>
      </c>
      <c r="D44" s="28">
        <f>SUM(D34:D43)</f>
        <v/>
      </c>
      <c r="E44" s="28">
        <f>SUM(E34:E43)</f>
        <v/>
      </c>
      <c r="F44" s="28">
        <f>SUM(F34:F43)</f>
        <v/>
      </c>
      <c r="G44" s="28">
        <f>SUM(G34:G43)</f>
        <v/>
      </c>
      <c r="H44" s="28">
        <f>SUM(H34:H43)</f>
        <v/>
      </c>
    </row>
    <row r="46" ht="18" customHeight="1">
      <c r="A46" s="3" t="inlineStr">
        <is>
          <t>TOTAL — ALL SEGMENTS</t>
        </is>
      </c>
    </row>
    <row r="47" ht="28" customHeight="1">
      <c r="A47" s="4" t="inlineStr">
        <is>
          <t>Month</t>
        </is>
      </c>
      <c r="B47" s="5" t="inlineStr">
        <is>
          <t>Plan (AUD)</t>
        </is>
      </c>
      <c r="C47" s="5" t="inlineStr">
        <is>
          <t>Base</t>
        </is>
      </c>
      <c r="D47" s="5" t="inlineStr">
        <is>
          <t>Moderate</t>
        </is>
      </c>
      <c r="E47" s="5" t="inlineStr">
        <is>
          <t>Severe</t>
        </is>
      </c>
      <c r="F47" s="5" t="inlineStr">
        <is>
          <t>Var Base</t>
        </is>
      </c>
      <c r="G47" s="5" t="inlineStr">
        <is>
          <t>Var Moderate</t>
        </is>
      </c>
      <c r="H47" s="5" t="inlineStr">
        <is>
          <t>Var Severe</t>
        </is>
      </c>
    </row>
    <row r="48">
      <c r="A48" s="6" t="inlineStr">
        <is>
          <t>Sep 2026</t>
        </is>
      </c>
      <c r="B48" s="29">
        <f>B6+B20+B34</f>
        <v/>
      </c>
      <c r="C48" s="29">
        <f>C6+C20+C34</f>
        <v/>
      </c>
      <c r="D48" s="29">
        <f>D6+D20+D34</f>
        <v/>
      </c>
      <c r="E48" s="29">
        <f>E6+E20+E34</f>
        <v/>
      </c>
      <c r="F48" s="27">
        <f>F6+F20+F34</f>
        <v/>
      </c>
      <c r="G48" s="27">
        <f>G6+G20+G34</f>
        <v/>
      </c>
      <c r="H48" s="27">
        <f>H6+H20+H34</f>
        <v/>
      </c>
    </row>
    <row r="49">
      <c r="A49" s="6" t="inlineStr">
        <is>
          <t>Oct 2026</t>
        </is>
      </c>
      <c r="B49" s="29">
        <f>B7+B21+B35</f>
        <v/>
      </c>
      <c r="C49" s="29">
        <f>C7+C21+C35</f>
        <v/>
      </c>
      <c r="D49" s="29">
        <f>D7+D21+D35</f>
        <v/>
      </c>
      <c r="E49" s="29">
        <f>E7+E21+E35</f>
        <v/>
      </c>
      <c r="F49" s="27">
        <f>F7+F21+F35</f>
        <v/>
      </c>
      <c r="G49" s="27">
        <f>G7+G21+G35</f>
        <v/>
      </c>
      <c r="H49" s="27">
        <f>H7+H21+H35</f>
        <v/>
      </c>
    </row>
    <row r="50">
      <c r="A50" s="6" t="inlineStr">
        <is>
          <t>Nov 2026</t>
        </is>
      </c>
      <c r="B50" s="29">
        <f>B8+B22+B36</f>
        <v/>
      </c>
      <c r="C50" s="29">
        <f>C8+C22+C36</f>
        <v/>
      </c>
      <c r="D50" s="29">
        <f>D8+D22+D36</f>
        <v/>
      </c>
      <c r="E50" s="29">
        <f>E8+E22+E36</f>
        <v/>
      </c>
      <c r="F50" s="27">
        <f>F8+F22+F36</f>
        <v/>
      </c>
      <c r="G50" s="27">
        <f>G8+G22+G36</f>
        <v/>
      </c>
      <c r="H50" s="27">
        <f>H8+H22+H36</f>
        <v/>
      </c>
    </row>
    <row r="51">
      <c r="A51" s="6" t="inlineStr">
        <is>
          <t>Dec 2026</t>
        </is>
      </c>
      <c r="B51" s="29">
        <f>B9+B23+B37</f>
        <v/>
      </c>
      <c r="C51" s="29">
        <f>C9+C23+C37</f>
        <v/>
      </c>
      <c r="D51" s="29">
        <f>D9+D23+D37</f>
        <v/>
      </c>
      <c r="E51" s="29">
        <f>E9+E23+E37</f>
        <v/>
      </c>
      <c r="F51" s="27">
        <f>F9+F23+F37</f>
        <v/>
      </c>
      <c r="G51" s="27">
        <f>G9+G23+G37</f>
        <v/>
      </c>
      <c r="H51" s="27">
        <f>H9+H23+H37</f>
        <v/>
      </c>
    </row>
    <row r="52">
      <c r="A52" s="6" t="inlineStr">
        <is>
          <t>Jan 2027</t>
        </is>
      </c>
      <c r="B52" s="29">
        <f>B10+B24+B38</f>
        <v/>
      </c>
      <c r="C52" s="29">
        <f>C10+C24+C38</f>
        <v/>
      </c>
      <c r="D52" s="29">
        <f>D10+D24+D38</f>
        <v/>
      </c>
      <c r="E52" s="29">
        <f>E10+E24+E38</f>
        <v/>
      </c>
      <c r="F52" s="27">
        <f>F10+F24+F38</f>
        <v/>
      </c>
      <c r="G52" s="27">
        <f>G10+G24+G38</f>
        <v/>
      </c>
      <c r="H52" s="27">
        <f>H10+H24+H38</f>
        <v/>
      </c>
    </row>
    <row r="53">
      <c r="A53" s="6" t="inlineStr">
        <is>
          <t>Feb 2027</t>
        </is>
      </c>
      <c r="B53" s="29">
        <f>B11+B25+B39</f>
        <v/>
      </c>
      <c r="C53" s="29">
        <f>C11+C25+C39</f>
        <v/>
      </c>
      <c r="D53" s="29">
        <f>D11+D25+D39</f>
        <v/>
      </c>
      <c r="E53" s="29">
        <f>E11+E25+E39</f>
        <v/>
      </c>
      <c r="F53" s="27">
        <f>F11+F25+F39</f>
        <v/>
      </c>
      <c r="G53" s="27">
        <f>G11+G25+G39</f>
        <v/>
      </c>
      <c r="H53" s="27">
        <f>H11+H25+H39</f>
        <v/>
      </c>
    </row>
    <row r="54">
      <c r="A54" s="6" t="inlineStr">
        <is>
          <t>Mar 2027</t>
        </is>
      </c>
      <c r="B54" s="29">
        <f>B12+B26+B40</f>
        <v/>
      </c>
      <c r="C54" s="29">
        <f>C12+C26+C40</f>
        <v/>
      </c>
      <c r="D54" s="29">
        <f>D12+D26+D40</f>
        <v/>
      </c>
      <c r="E54" s="29">
        <f>E12+E26+E40</f>
        <v/>
      </c>
      <c r="F54" s="27">
        <f>F12+F26+F40</f>
        <v/>
      </c>
      <c r="G54" s="27">
        <f>G12+G26+G40</f>
        <v/>
      </c>
      <c r="H54" s="27">
        <f>H12+H26+H40</f>
        <v/>
      </c>
    </row>
    <row r="55">
      <c r="A55" s="6" t="inlineStr">
        <is>
          <t>Apr 2027</t>
        </is>
      </c>
      <c r="B55" s="29">
        <f>B13+B27+B41</f>
        <v/>
      </c>
      <c r="C55" s="29">
        <f>C13+C27+C41</f>
        <v/>
      </c>
      <c r="D55" s="29">
        <f>D13+D27+D41</f>
        <v/>
      </c>
      <c r="E55" s="29">
        <f>E13+E27+E41</f>
        <v/>
      </c>
      <c r="F55" s="27">
        <f>F13+F27+F41</f>
        <v/>
      </c>
      <c r="G55" s="27">
        <f>G13+G27+G41</f>
        <v/>
      </c>
      <c r="H55" s="27">
        <f>H13+H27+H41</f>
        <v/>
      </c>
    </row>
    <row r="56">
      <c r="A56" s="6" t="inlineStr">
        <is>
          <t>May 2027</t>
        </is>
      </c>
      <c r="B56" s="29">
        <f>B14+B28+B42</f>
        <v/>
      </c>
      <c r="C56" s="29">
        <f>C14+C28+C42</f>
        <v/>
      </c>
      <c r="D56" s="29">
        <f>D14+D28+D42</f>
        <v/>
      </c>
      <c r="E56" s="29">
        <f>E14+E28+E42</f>
        <v/>
      </c>
      <c r="F56" s="27">
        <f>F14+F28+F42</f>
        <v/>
      </c>
      <c r="G56" s="27">
        <f>G14+G28+G42</f>
        <v/>
      </c>
      <c r="H56" s="27">
        <f>H14+H28+H42</f>
        <v/>
      </c>
    </row>
    <row r="57">
      <c r="A57" s="6" t="inlineStr">
        <is>
          <t>Jun 2027</t>
        </is>
      </c>
      <c r="B57" s="29">
        <f>B15+B29+B43</f>
        <v/>
      </c>
      <c r="C57" s="29">
        <f>C15+C29+C43</f>
        <v/>
      </c>
      <c r="D57" s="29">
        <f>D15+D29+D43</f>
        <v/>
      </c>
      <c r="E57" s="29">
        <f>E15+E29+E43</f>
        <v/>
      </c>
      <c r="F57" s="27">
        <f>F15+F29+F43</f>
        <v/>
      </c>
      <c r="G57" s="27">
        <f>G15+G29+G43</f>
        <v/>
      </c>
      <c r="H57" s="27">
        <f>H15+H29+H43</f>
        <v/>
      </c>
    </row>
    <row r="58">
      <c r="A58" s="30" t="inlineStr">
        <is>
          <t>PERIOD TOTAL</t>
        </is>
      </c>
      <c r="B58" s="31">
        <f>SUM(B48:B57)</f>
        <v/>
      </c>
      <c r="C58" s="31">
        <f>SUM(C48:C57)</f>
        <v/>
      </c>
      <c r="D58" s="31">
        <f>SUM(D48:D57)</f>
        <v/>
      </c>
      <c r="E58" s="31">
        <f>SUM(E48:E57)</f>
        <v/>
      </c>
      <c r="F58" s="31">
        <f>SUM(F48:F57)</f>
        <v/>
      </c>
      <c r="G58" s="31">
        <f>SUM(G48:G57)</f>
        <v/>
      </c>
      <c r="H58" s="31">
        <f>SUM(H48:H57)</f>
        <v/>
      </c>
    </row>
  </sheetData>
  <mergeCells count="6">
    <mergeCell ref="A18:H18"/>
    <mergeCell ref="A4:H4"/>
    <mergeCell ref="A2:H2"/>
    <mergeCell ref="A1:H1"/>
    <mergeCell ref="A46:H46"/>
    <mergeCell ref="A32:H32"/>
  </mergeCells>
  <conditionalFormatting sqref="F6:H16">
    <cfRule type="cellIs" priority="1" operator="lessThan" dxfId="0">
      <formula>0</formula>
    </cfRule>
  </conditionalFormatting>
  <conditionalFormatting sqref="F20:H30">
    <cfRule type="cellIs" priority="2" operator="lessThan" dxfId="0">
      <formula>0</formula>
    </cfRule>
  </conditionalFormatting>
  <conditionalFormatting sqref="F34:H44">
    <cfRule type="cellIs" priority="3" operator="lessThan" dxfId="0">
      <formula>0</formula>
    </cfRule>
  </conditionalFormatting>
  <conditionalFormatting sqref="F48:H58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4" customHeight="1">
      <c r="A1" s="1" t="inlineStr">
        <is>
          <t>Margin Bridge  —  Planned Gross Profit to Scenario Gross Profit</t>
        </is>
      </c>
    </row>
    <row r="2" ht="26" customHeight="1">
      <c r="A2" s="2" t="inlineStr">
        <is>
          <t>Period gross profit (AUD), decomposed into FX, air-freight, sea-freight substitution and demand-volume steps. The four steps sum exactly to the gap between planned and scenario GP.</t>
        </is>
      </c>
    </row>
    <row r="4" ht="18" customHeight="1">
      <c r="A4" s="3" t="inlineStr">
        <is>
          <t>PLAN ECONOMICS  (period)</t>
        </is>
      </c>
    </row>
    <row r="5" ht="28" customHeight="1">
      <c r="A5" s="4" t="inlineStr">
        <is>
          <t>Item</t>
        </is>
      </c>
      <c r="B5" s="5" t="inlineStr">
        <is>
          <t>Value</t>
        </is>
      </c>
      <c r="C5" s="5" t="inlineStr"/>
      <c r="D5" s="5" t="inlineStr"/>
      <c r="E5" s="5" t="inlineStr"/>
      <c r="F5" s="5" t="inlineStr"/>
      <c r="G5" s="5" t="inlineStr">
        <is>
          <t>Notes</t>
        </is>
      </c>
    </row>
    <row r="6">
      <c r="A6" s="6" t="inlineStr">
        <is>
          <t>Planned units</t>
        </is>
      </c>
      <c r="B6" s="32">
        <f>'1. Assumptions'!$B$23</f>
        <v/>
      </c>
      <c r="G6" s="8" t="inlineStr">
        <is>
          <t>from Assumptions</t>
        </is>
      </c>
    </row>
    <row r="7">
      <c r="A7" s="6" t="inlineStr">
        <is>
          <t>Planned ASP (AUD)</t>
        </is>
      </c>
      <c r="B7" s="33">
        <f>'1. Assumptions'!$B$24</f>
        <v/>
      </c>
      <c r="G7" s="8" t="inlineStr">
        <is>
          <t>from Assumptions</t>
        </is>
      </c>
    </row>
    <row r="8">
      <c r="A8" s="6" t="inlineStr">
        <is>
          <t>Planned revenue</t>
        </is>
      </c>
      <c r="B8" s="29">
        <f>B6*B7</f>
        <v/>
      </c>
      <c r="G8" s="8" t="inlineStr">
        <is>
          <t>units × ASP</t>
        </is>
      </c>
    </row>
    <row r="9">
      <c r="A9" s="6" t="inlineStr">
        <is>
          <t>Product cost / unit</t>
        </is>
      </c>
      <c r="B9" s="22">
        <f>'1. Assumptions'!$B$25*(1+'1. Assumptions'!$B$10+'1. Assumptions'!$B$11)*'1. Assumptions'!$B$7</f>
        <v/>
      </c>
      <c r="G9" s="8" t="inlineStr">
        <is>
          <t>FOB × (1+duty+ins) × AUD/USD</t>
        </is>
      </c>
    </row>
    <row r="10">
      <c r="A10" s="6" t="inlineStr">
        <is>
          <t>Air freight / unit</t>
        </is>
      </c>
      <c r="B10" s="22">
        <f>'1. Assumptions'!$B$26*'1. Assumptions'!$B$8*'1. Assumptions'!$B$7</f>
        <v/>
      </c>
      <c r="G10" s="8" t="inlineStr">
        <is>
          <t>weight × air rate × AUD/USD</t>
        </is>
      </c>
    </row>
    <row r="11">
      <c r="A11" s="6" t="inlineStr">
        <is>
          <t>Sea freight / unit</t>
        </is>
      </c>
      <c r="B11" s="22">
        <f>(1/'1. Assumptions'!$B$27)*'1. Assumptions'!$B$9*'1. Assumptions'!$B$7</f>
        <v/>
      </c>
      <c r="G11" s="8" t="inlineStr">
        <is>
          <t>(1/units-per-CBM) × sea rate × AUD/USD</t>
        </is>
      </c>
    </row>
    <row r="12">
      <c r="A12" s="6" t="inlineStr">
        <is>
          <t>Air share (plan)</t>
        </is>
      </c>
      <c r="B12" s="34">
        <f>'1. Assumptions'!$B$28</f>
        <v/>
      </c>
      <c r="G12" s="8" t="inlineStr">
        <is>
          <t>from Assumptions</t>
        </is>
      </c>
    </row>
    <row r="13">
      <c r="A13" s="6" t="inlineStr">
        <is>
          <t>Sea share (plan)</t>
        </is>
      </c>
      <c r="B13" s="35">
        <f>1-B12</f>
        <v/>
      </c>
      <c r="G13" s="8" t="inlineStr">
        <is>
          <t>balance</t>
        </is>
      </c>
    </row>
    <row r="14">
      <c r="A14" s="6" t="inlineStr">
        <is>
          <t>Blended freight / unit</t>
        </is>
      </c>
      <c r="B14" s="22">
        <f>B12*B10+B13*B11</f>
        <v/>
      </c>
      <c r="G14" s="8" t="inlineStr">
        <is>
          <t>mix-weighted</t>
        </is>
      </c>
    </row>
    <row r="15">
      <c r="A15" s="6" t="inlineStr">
        <is>
          <t>COGS / unit (plan)</t>
        </is>
      </c>
      <c r="B15" s="22">
        <f>B9+B14</f>
        <v/>
      </c>
      <c r="G15" s="8" t="inlineStr">
        <is>
          <t>product + freight</t>
        </is>
      </c>
    </row>
    <row r="16">
      <c r="A16" s="6" t="inlineStr">
        <is>
          <t>Planned COGS</t>
        </is>
      </c>
      <c r="B16" s="27">
        <f>B6*B15</f>
        <v/>
      </c>
      <c r="G16" s="8" t="inlineStr">
        <is>
          <t>units × COGS/unit</t>
        </is>
      </c>
    </row>
    <row r="17">
      <c r="A17" s="6" t="inlineStr">
        <is>
          <t>Planned gross profit</t>
        </is>
      </c>
      <c r="B17" s="29">
        <f>B8-B16</f>
        <v/>
      </c>
      <c r="G17" s="8" t="inlineStr">
        <is>
          <t>revenue − COGS</t>
        </is>
      </c>
    </row>
    <row r="18">
      <c r="A18" s="6" t="inlineStr">
        <is>
          <t>Planned gross margin %</t>
        </is>
      </c>
      <c r="B18" s="36">
        <f>B17/B8</f>
        <v/>
      </c>
      <c r="G18" s="8" t="inlineStr">
        <is>
          <t>GP / revenue</t>
        </is>
      </c>
    </row>
    <row r="20" ht="18" customHeight="1">
      <c r="A20" s="3" t="inlineStr">
        <is>
          <t>SCENARIO BRIDGE  (period, AUD)</t>
        </is>
      </c>
    </row>
    <row r="21" ht="16" customHeight="1">
      <c r="A21" s="37" t="inlineStr">
        <is>
          <t>Bridge line</t>
        </is>
      </c>
      <c r="B21" s="38" t="inlineStr"/>
      <c r="C21" s="39" t="inlineStr">
        <is>
          <t>Base</t>
        </is>
      </c>
      <c r="D21" s="39" t="inlineStr">
        <is>
          <t>Moderate</t>
        </is>
      </c>
      <c r="E21" s="39" t="inlineStr">
        <is>
          <t>Severe</t>
        </is>
      </c>
      <c r="G21" s="37" t="inlineStr">
        <is>
          <t>Notes</t>
        </is>
      </c>
    </row>
    <row r="22">
      <c r="A22" s="40" t="inlineStr">
        <is>
          <t>FX ratio (scen ÷ plan AUD/USD)</t>
        </is>
      </c>
      <c r="C22" s="41">
        <f>'1. Assumptions'!$C$7/'1. Assumptions'!$B$7</f>
        <v/>
      </c>
      <c r="D22" s="41">
        <f>'1. Assumptions'!$D$7/'1. Assumptions'!$B$7</f>
        <v/>
      </c>
      <c r="E22" s="41">
        <f>'1. Assumptions'!$E$7/'1. Assumptions'!$B$7</f>
        <v/>
      </c>
      <c r="G22" s="42" t="inlineStr">
        <is>
          <t>revaluation factor on USD costs</t>
        </is>
      </c>
    </row>
    <row r="23">
      <c r="A23" s="40" t="inlineStr">
        <is>
          <t>Air rate ratio</t>
        </is>
      </c>
      <c r="C23" s="41">
        <f>'1. Assumptions'!$C$8/'1. Assumptions'!$B$8</f>
        <v/>
      </c>
      <c r="D23" s="41">
        <f>'1. Assumptions'!$D$8/'1. Assumptions'!$B$8</f>
        <v/>
      </c>
      <c r="E23" s="41">
        <f>'1. Assumptions'!$E$8/'1. Assumptions'!$B$8</f>
        <v/>
      </c>
      <c r="G23" s="42" t="inlineStr"/>
    </row>
    <row r="24">
      <c r="A24" s="40" t="inlineStr">
        <is>
          <t>Sea rate ratio</t>
        </is>
      </c>
      <c r="C24" s="41">
        <f>'1. Assumptions'!$C$9/'1. Assumptions'!$B$9</f>
        <v/>
      </c>
      <c r="D24" s="41">
        <f>'1. Assumptions'!$D$9/'1. Assumptions'!$B$9</f>
        <v/>
      </c>
      <c r="E24" s="41">
        <f>'1. Assumptions'!$E$9/'1. Assumptions'!$B$9</f>
        <v/>
      </c>
      <c r="G24" s="42" t="inlineStr"/>
    </row>
    <row r="25">
      <c r="A25" s="40" t="inlineStr">
        <is>
          <t>Air share (scenario)</t>
        </is>
      </c>
      <c r="C25" s="43">
        <f>$B$12-'1. Assumptions'!$C$13</f>
        <v/>
      </c>
      <c r="D25" s="43">
        <f>$B$12-'1. Assumptions'!$D$13</f>
        <v/>
      </c>
      <c r="E25" s="43">
        <f>$B$12-'1. Assumptions'!$E$13</f>
        <v/>
      </c>
      <c r="G25" s="42" t="inlineStr">
        <is>
          <t>plan air share less substitution shift</t>
        </is>
      </c>
    </row>
    <row r="26">
      <c r="A26" s="40" t="inlineStr">
        <is>
          <t>Sea share (scenario)</t>
        </is>
      </c>
      <c r="C26" s="43">
        <f>1-C25</f>
        <v/>
      </c>
      <c r="D26" s="43">
        <f>1-D25</f>
        <v/>
      </c>
      <c r="E26" s="43">
        <f>1-E25</f>
        <v/>
      </c>
      <c r="G26" s="42" t="inlineStr"/>
    </row>
    <row r="27">
      <c r="A27" s="40" t="inlineStr">
        <is>
          <t>Demand factor (scen ÷ plan rev)</t>
        </is>
      </c>
      <c r="C27" s="41">
        <f>'3. Revenue Scenario'!$C$58/'3. Revenue Scenario'!$B$58</f>
        <v/>
      </c>
      <c r="D27" s="41">
        <f>'3. Revenue Scenario'!$D$58/'3. Revenue Scenario'!$B$58</f>
        <v/>
      </c>
      <c r="E27" s="41">
        <f>'3. Revenue Scenario'!$E$58/'3. Revenue Scenario'!$B$58</f>
        <v/>
      </c>
      <c r="G27" s="42" t="inlineStr">
        <is>
          <t>from Revenue Scenario period totals</t>
        </is>
      </c>
    </row>
    <row r="28">
      <c r="A28" s="40" t="inlineStr">
        <is>
          <t>c0  COGS/unit @ plan</t>
        </is>
      </c>
      <c r="C28" s="44">
        <f>$B$15</f>
        <v/>
      </c>
      <c r="D28" s="44">
        <f>$B$15</f>
        <v/>
      </c>
      <c r="E28" s="44">
        <f>$B$15</f>
        <v/>
      </c>
      <c r="G28" s="42" t="inlineStr"/>
    </row>
    <row r="29">
      <c r="A29" s="40" t="inlineStr">
        <is>
          <t>Product/unit @ scenario</t>
        </is>
      </c>
      <c r="C29" s="44">
        <f>$B$9*C22</f>
        <v/>
      </c>
      <c r="D29" s="44">
        <f>$B$9*D22</f>
        <v/>
      </c>
      <c r="E29" s="44">
        <f>$B$9*E22</f>
        <v/>
      </c>
      <c r="G29" s="42" t="inlineStr">
        <is>
          <t>plan × FX ratio</t>
        </is>
      </c>
    </row>
    <row r="30">
      <c r="A30" s="40" t="inlineStr">
        <is>
          <t>Air freight/unit @ scenario</t>
        </is>
      </c>
      <c r="C30" s="44">
        <f>$B$10*C22*C23</f>
        <v/>
      </c>
      <c r="D30" s="44">
        <f>$B$10*D22*D23</f>
        <v/>
      </c>
      <c r="E30" s="44">
        <f>$B$10*E22*E23</f>
        <v/>
      </c>
      <c r="G30" s="42" t="inlineStr">
        <is>
          <t>plan × FX × air-rate ratio</t>
        </is>
      </c>
    </row>
    <row r="31">
      <c r="A31" s="40" t="inlineStr">
        <is>
          <t>Sea freight/unit @ scenario</t>
        </is>
      </c>
      <c r="C31" s="44">
        <f>$B$11*C22*C24</f>
        <v/>
      </c>
      <c r="D31" s="44">
        <f>$B$11*D22*D24</f>
        <v/>
      </c>
      <c r="E31" s="44">
        <f>$B$11*E22*E24</f>
        <v/>
      </c>
      <c r="G31" s="42" t="inlineStr">
        <is>
          <t>plan × FX × sea-rate ratio</t>
        </is>
      </c>
    </row>
    <row r="32">
      <c r="A32" s="40" t="inlineStr">
        <is>
          <t>c1  after FX</t>
        </is>
      </c>
      <c r="C32" s="44">
        <f>C28*C22</f>
        <v/>
      </c>
      <c r="D32" s="44">
        <f>D28*D22</f>
        <v/>
      </c>
      <c r="E32" s="44">
        <f>E28*E22</f>
        <v/>
      </c>
      <c r="G32" s="42" t="inlineStr"/>
    </row>
    <row r="33">
      <c r="A33" s="40" t="inlineStr">
        <is>
          <t>c2  after air rate</t>
        </is>
      </c>
      <c r="C33" s="44">
        <f>C29+$B$12*C30+$B$13*($B$11*C22)</f>
        <v/>
      </c>
      <c r="D33" s="44">
        <f>D29+$B$12*D30+$B$13*($B$11*D22)</f>
        <v/>
      </c>
      <c r="E33" s="44">
        <f>E29+$B$12*E30+$B$13*($B$11*E22)</f>
        <v/>
      </c>
      <c r="G33" s="42" t="inlineStr"/>
    </row>
    <row r="34">
      <c r="A34" s="40" t="inlineStr">
        <is>
          <t>c3  after sea sub (=scen COGS/u)</t>
        </is>
      </c>
      <c r="C34" s="44">
        <f>C29+C25*C30+C26*C31</f>
        <v/>
      </c>
      <c r="D34" s="44">
        <f>D29+D25*D30+D26*D31</f>
        <v/>
      </c>
      <c r="E34" s="44">
        <f>E29+E25*E30+E26*E31</f>
        <v/>
      </c>
      <c r="G34" s="42" t="inlineStr"/>
    </row>
    <row r="35">
      <c r="A35" s="21" t="inlineStr">
        <is>
          <t>STEP — FX effect</t>
        </is>
      </c>
      <c r="C35" s="45">
        <f>-$B$6*(C32-C28)</f>
        <v/>
      </c>
      <c r="D35" s="45">
        <f>-$B$6*(D32-D28)</f>
        <v/>
      </c>
      <c r="E35" s="45">
        <f>-$B$6*(E32-E28)</f>
        <v/>
      </c>
    </row>
    <row r="36">
      <c r="A36" s="21" t="inlineStr">
        <is>
          <t>STEP — Air freight</t>
        </is>
      </c>
      <c r="C36" s="45">
        <f>-$B$6*(C33-C32)</f>
        <v/>
      </c>
      <c r="D36" s="45">
        <f>-$B$6*(D33-D32)</f>
        <v/>
      </c>
      <c r="E36" s="45">
        <f>-$B$6*(E33-E32)</f>
        <v/>
      </c>
    </row>
    <row r="37">
      <c r="A37" s="21" t="inlineStr">
        <is>
          <t>STEP — Sea freight substitution</t>
        </is>
      </c>
      <c r="C37" s="45">
        <f>-$B$6*(C34-C33)</f>
        <v/>
      </c>
      <c r="D37" s="45">
        <f>-$B$6*(D34-D33)</f>
        <v/>
      </c>
      <c r="E37" s="45">
        <f>-$B$6*(E34-E33)</f>
        <v/>
      </c>
    </row>
    <row r="38">
      <c r="A38" s="21" t="inlineStr">
        <is>
          <t>STEP — Demand volume</t>
        </is>
      </c>
      <c r="C38" s="45">
        <f>(C27-1)*($B$8-$B$6*C34)</f>
        <v/>
      </c>
      <c r="D38" s="45">
        <f>(D27-1)*($B$8-$B$6*D34)</f>
        <v/>
      </c>
      <c r="E38" s="45">
        <f>(E27-1)*($B$8-$B$6*E34)</f>
        <v/>
      </c>
    </row>
    <row r="39">
      <c r="A39" s="46" t="inlineStr">
        <is>
          <t>Scenario gross profit</t>
        </is>
      </c>
      <c r="B39" s="47" t="inlineStr">
        <is>
          <t>Plan GP →</t>
        </is>
      </c>
      <c r="C39" s="48">
        <f>$B$17+C35+C36+C37+C38</f>
        <v/>
      </c>
      <c r="D39" s="48">
        <f>$B$17+D35+D36+D37+D38</f>
        <v/>
      </c>
      <c r="E39" s="48">
        <f>$B$17+E35+E36+E37+E38</f>
        <v/>
      </c>
    </row>
    <row r="40">
      <c r="A40" s="6" t="inlineStr">
        <is>
          <t>Scenario revenue</t>
        </is>
      </c>
      <c r="C40" s="45">
        <f>$B$8*C27</f>
        <v/>
      </c>
      <c r="D40" s="45">
        <f>$B$8*D27</f>
        <v/>
      </c>
      <c r="E40" s="45">
        <f>$B$8*E27</f>
        <v/>
      </c>
    </row>
    <row r="41">
      <c r="A41" s="6" t="inlineStr">
        <is>
          <t>Scenario COGS</t>
        </is>
      </c>
      <c r="C41" s="45">
        <f>$B$6*C27*C34</f>
        <v/>
      </c>
      <c r="D41" s="45">
        <f>$B$6*D27*D34</f>
        <v/>
      </c>
      <c r="E41" s="45">
        <f>$B$6*E27*E34</f>
        <v/>
      </c>
    </row>
    <row r="42">
      <c r="A42" s="21" t="inlineStr">
        <is>
          <t>Scenario gross margin %</t>
        </is>
      </c>
      <c r="C42" s="49">
        <f>C39/C40</f>
        <v/>
      </c>
      <c r="D42" s="49">
        <f>D39/D40</f>
        <v/>
      </c>
      <c r="E42" s="49">
        <f>E39/E40</f>
        <v/>
      </c>
    </row>
    <row r="43">
      <c r="A43" s="40" t="inlineStr">
        <is>
          <t>Scenario units (for levers)</t>
        </is>
      </c>
      <c r="C43" s="50">
        <f>$B$6*C27</f>
        <v/>
      </c>
      <c r="D43" s="50">
        <f>$B$6*D27</f>
        <v/>
      </c>
      <c r="E43" s="50">
        <f>$B$6*E27</f>
        <v/>
      </c>
    </row>
    <row r="44">
      <c r="A44" s="40" t="inlineStr">
        <is>
          <t>FX cost @ scenario volume</t>
        </is>
      </c>
      <c r="C44" s="45">
        <f>C43*C28*(C22-1)</f>
        <v/>
      </c>
      <c r="D44" s="45">
        <f>D43*D28*(D22-1)</f>
        <v/>
      </c>
      <c r="E44" s="45">
        <f>E43*E28*(E22-1)</f>
        <v/>
      </c>
    </row>
    <row r="45">
      <c r="A45" s="51" t="inlineStr">
        <is>
          <t>Check: GP − (Rev−COGS) = 0</t>
        </is>
      </c>
      <c r="C45" s="52">
        <f>C39-(C40-C41)</f>
        <v/>
      </c>
      <c r="D45" s="52">
        <f>D39-(D40-D41)</f>
        <v/>
      </c>
      <c r="E45" s="52">
        <f>E39-(E40-E41)</f>
        <v/>
      </c>
    </row>
    <row r="48" ht="18" customHeight="1">
      <c r="A48" s="3" t="inlineStr">
        <is>
          <t>WATERFALL DATA — Severe scenario (period gross profit, AUD)</t>
        </is>
      </c>
    </row>
    <row r="49" ht="28" customHeight="1">
      <c r="A49" s="4" t="inlineStr">
        <is>
          <t>Step</t>
        </is>
      </c>
      <c r="B49" s="5" t="inlineStr">
        <is>
          <t>Value</t>
        </is>
      </c>
      <c r="C49" s="5" t="inlineStr">
        <is>
          <t>Cumulative</t>
        </is>
      </c>
      <c r="D49" s="5" t="inlineStr">
        <is>
          <t>Base</t>
        </is>
      </c>
      <c r="E49" s="5" t="inlineStr">
        <is>
          <t>Decrease</t>
        </is>
      </c>
      <c r="F49" s="5" t="inlineStr">
        <is>
          <t>Increase</t>
        </is>
      </c>
      <c r="G49" s="5" t="inlineStr">
        <is>
          <t>Total</t>
        </is>
      </c>
    </row>
    <row r="50">
      <c r="A50" s="6" t="inlineStr">
        <is>
          <t>Planned GP</t>
        </is>
      </c>
      <c r="B50" s="27">
        <f>$B$17</f>
        <v/>
      </c>
      <c r="C50" s="27">
        <f>B50</f>
        <v/>
      </c>
      <c r="D50" s="27" t="n">
        <v>0</v>
      </c>
      <c r="E50" s="27" t="n">
        <v>0</v>
      </c>
      <c r="F50" s="27" t="n">
        <v>0</v>
      </c>
      <c r="G50" s="27">
        <f>B50</f>
        <v/>
      </c>
    </row>
    <row r="51">
      <c r="A51" s="6" t="inlineStr">
        <is>
          <t>FX effect</t>
        </is>
      </c>
      <c r="B51" s="27">
        <f>$E$35</f>
        <v/>
      </c>
      <c r="C51" s="27">
        <f>C50+B51</f>
        <v/>
      </c>
      <c r="D51" s="27">
        <f>C50-E51</f>
        <v/>
      </c>
      <c r="E51" s="27">
        <f>MAX(-B51,0)</f>
        <v/>
      </c>
      <c r="F51" s="27">
        <f>MAX(B51,0)</f>
        <v/>
      </c>
      <c r="G51" s="27" t="n">
        <v>0</v>
      </c>
    </row>
    <row r="52">
      <c r="A52" s="6" t="inlineStr">
        <is>
          <t>Air freight</t>
        </is>
      </c>
      <c r="B52" s="27">
        <f>$E$36</f>
        <v/>
      </c>
      <c r="C52" s="27">
        <f>C51+B52</f>
        <v/>
      </c>
      <c r="D52" s="27">
        <f>C51-E52</f>
        <v/>
      </c>
      <c r="E52" s="27">
        <f>MAX(-B52,0)</f>
        <v/>
      </c>
      <c r="F52" s="27">
        <f>MAX(B52,0)</f>
        <v/>
      </c>
      <c r="G52" s="27" t="n">
        <v>0</v>
      </c>
    </row>
    <row r="53">
      <c r="A53" s="6" t="inlineStr">
        <is>
          <t>Sea freight substitution</t>
        </is>
      </c>
      <c r="B53" s="27">
        <f>$E$37</f>
        <v/>
      </c>
      <c r="C53" s="27">
        <f>C52+B53</f>
        <v/>
      </c>
      <c r="D53" s="27">
        <f>C52-E53</f>
        <v/>
      </c>
      <c r="E53" s="27">
        <f>MAX(-B53,0)</f>
        <v/>
      </c>
      <c r="F53" s="27">
        <f>MAX(B53,0)</f>
        <v/>
      </c>
      <c r="G53" s="27" t="n">
        <v>0</v>
      </c>
    </row>
    <row r="54">
      <c r="A54" s="6" t="inlineStr">
        <is>
          <t>Demand volume</t>
        </is>
      </c>
      <c r="B54" s="27">
        <f>$E$38</f>
        <v/>
      </c>
      <c r="C54" s="27">
        <f>C53+B54</f>
        <v/>
      </c>
      <c r="D54" s="27">
        <f>C53-E54</f>
        <v/>
      </c>
      <c r="E54" s="27">
        <f>MAX(-B54,0)</f>
        <v/>
      </c>
      <c r="F54" s="27">
        <f>MAX(B54,0)</f>
        <v/>
      </c>
      <c r="G54" s="27" t="n">
        <v>0</v>
      </c>
    </row>
    <row r="55">
      <c r="A55" s="6" t="inlineStr">
        <is>
          <t>Scenario GP</t>
        </is>
      </c>
      <c r="B55" s="27">
        <f>$E$39</f>
        <v/>
      </c>
      <c r="C55" s="27">
        <f>B55</f>
        <v/>
      </c>
      <c r="D55" s="27" t="n">
        <v>0</v>
      </c>
      <c r="E55" s="27" t="n">
        <v>0</v>
      </c>
      <c r="F55" s="27" t="n">
        <v>0</v>
      </c>
      <c r="G55" s="27">
        <f>B55</f>
        <v/>
      </c>
    </row>
  </sheetData>
  <mergeCells count="5">
    <mergeCell ref="A1:G1"/>
    <mergeCell ref="A4:G4"/>
    <mergeCell ref="A48:G48"/>
    <mergeCell ref="A20:G20"/>
    <mergeCell ref="A2:G2"/>
  </mergeCells>
  <conditionalFormatting sqref="C35:E38">
    <cfRule type="cellIs" priority="1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40" customWidth="1" min="4" max="4"/>
    <col width="4" customWidth="1" min="5" max="5"/>
    <col width="4" customWidth="1" min="6" max="6"/>
  </cols>
  <sheetData>
    <row r="1" ht="24" customHeight="1">
      <c r="A1" s="1" t="inlineStr">
        <is>
          <t>Mitigation Levers  —  Closing the Gap</t>
        </is>
      </c>
    </row>
    <row r="2" ht="30" customHeight="1">
      <c r="A2" s="2" t="inlineStr">
        <is>
          <t>Each lever is modelled against the selected scenario's gross-profit gap. Change the yellow scenario selector and the blue lever settings (X, Y, Z); the residual updates so you can find the combination that closes the gap.</t>
        </is>
      </c>
    </row>
    <row r="4" ht="18" customHeight="1">
      <c r="A4" s="3" t="inlineStr">
        <is>
          <t>SCENARIO</t>
        </is>
      </c>
    </row>
    <row r="5">
      <c r="A5" s="21" t="inlineStr">
        <is>
          <t>Scenario:</t>
        </is>
      </c>
      <c r="B5" s="53" t="inlineStr">
        <is>
          <t>Severe</t>
        </is>
      </c>
      <c r="C5" s="11" t="inlineStr">
        <is>
          <t>← pick Base / Moderate / Severe</t>
        </is>
      </c>
    </row>
    <row r="6">
      <c r="A6" s="11" t="inlineStr">
        <is>
          <t>Scenario column index</t>
        </is>
      </c>
      <c r="B6" s="54">
        <f>MATCH($B$5,'4. Margin Bridge'!$C$21:$E$21,0)</f>
        <v/>
      </c>
    </row>
    <row r="7">
      <c r="A7" s="6" t="inlineStr">
        <is>
          <t>Scenario gross profit</t>
        </is>
      </c>
      <c r="B7" s="55">
        <f>INDEX('4. Margin Bridge'!$C$39:$E$39,1,$B$6)</f>
        <v/>
      </c>
    </row>
    <row r="8">
      <c r="A8" s="6" t="inlineStr">
        <is>
          <t>Planned gross profit</t>
        </is>
      </c>
      <c r="B8" s="55">
        <f>'4. Margin Bridge'!$B$17</f>
        <v/>
      </c>
    </row>
    <row r="9">
      <c r="A9" s="6" t="inlineStr">
        <is>
          <t>Gap to plan (scenario − plan)</t>
        </is>
      </c>
      <c r="B9" s="29">
        <f>B7-B8</f>
        <v/>
      </c>
      <c r="D9" s="11" t="inlineStr">
        <is>
          <t>the gap the levers must close</t>
        </is>
      </c>
    </row>
    <row r="10">
      <c r="A10" s="9" t="inlineStr">
        <is>
          <t>Scenario units</t>
        </is>
      </c>
      <c r="B10" s="32">
        <f>INDEX('4. Margin Bridge'!$C$43:$E$43,1,$B$6)</f>
        <v/>
      </c>
    </row>
    <row r="11">
      <c r="A11" s="9" t="inlineStr">
        <is>
          <t>Air freight / unit (scen)</t>
        </is>
      </c>
      <c r="B11" s="33">
        <f>INDEX('4. Margin Bridge'!$C$30:$E$30,1,$B$6)</f>
        <v/>
      </c>
    </row>
    <row r="12">
      <c r="A12" s="9" t="inlineStr">
        <is>
          <t>Sea freight / unit (scen)</t>
        </is>
      </c>
      <c r="B12" s="33">
        <f>INDEX('4. Margin Bridge'!$C$31:$E$31,1,$B$6)</f>
        <v/>
      </c>
    </row>
    <row r="13">
      <c r="A13" s="9" t="inlineStr">
        <is>
          <t>FX cost @ scenario volume</t>
        </is>
      </c>
      <c r="B13" s="55">
        <f>INDEX('4. Margin Bridge'!$C$44:$E$44,1,$B$6)</f>
        <v/>
      </c>
    </row>
    <row r="14">
      <c r="A14" s="9" t="inlineStr">
        <is>
          <t>Scenario revenue</t>
        </is>
      </c>
      <c r="B14" s="55">
        <f>INDEX('4. Margin Bridge'!$C$40:$E$40,1,$B$6)</f>
        <v/>
      </c>
    </row>
    <row r="15">
      <c r="A15" s="9" t="inlineStr">
        <is>
          <t>Scenario COGS</t>
        </is>
      </c>
      <c r="B15" s="55">
        <f>INDEX('4. Margin Bridge'!$C$41:$E$41,1,$B$6)</f>
        <v/>
      </c>
    </row>
    <row r="16">
      <c r="A16" s="9" t="inlineStr">
        <is>
          <t>Price elasticity</t>
        </is>
      </c>
      <c r="B16" s="56">
        <f>'1. Assumptions'!$B$29</f>
        <v/>
      </c>
    </row>
    <row r="17">
      <c r="A17" s="9" t="inlineStr">
        <is>
          <t>Scenario air share (cap for X)</t>
        </is>
      </c>
      <c r="B17" s="34">
        <f>INDEX('4. Margin Bridge'!$C$25:$E$25,1,$B$6)</f>
        <v/>
      </c>
    </row>
    <row r="18" ht="18" customHeight="1">
      <c r="A18" s="3" t="inlineStr">
        <is>
          <t>MITIGATION LEVERS</t>
        </is>
      </c>
    </row>
    <row r="19" ht="16" customHeight="1">
      <c r="A19" s="37" t="inlineStr">
        <is>
          <t>Lever</t>
        </is>
      </c>
      <c r="B19" s="39" t="inlineStr">
        <is>
          <t>Setting</t>
        </is>
      </c>
      <c r="C19" s="39" t="inlineStr">
        <is>
          <t>Modelled GP impact (AUD)</t>
        </is>
      </c>
      <c r="D19" s="37" t="inlineStr">
        <is>
          <t>How it is modelled</t>
        </is>
      </c>
    </row>
    <row r="20">
      <c r="A20" s="6" t="inlineStr">
        <is>
          <t>A.  Shift volume to sea</t>
        </is>
      </c>
      <c r="B20" s="57" t="n">
        <v>0.12</v>
      </c>
      <c r="C20" s="29">
        <f>B20*$B$10*($B$11-$B$12)</f>
        <v/>
      </c>
      <c r="D20" s="58" t="inlineStr">
        <is>
          <t>X% of scenario units moved air→sea × (air − sea) freight/unit. Keep X ≤ scenario air share (B17).</t>
        </is>
      </c>
    </row>
    <row r="21">
      <c r="A21" s="6" t="inlineStr">
        <is>
          <t>B.  Forward-hedge USD exposure</t>
        </is>
      </c>
      <c r="B21" s="57" t="n">
        <v>0.75</v>
      </c>
      <c r="C21" s="29">
        <f>B21*$B$13</f>
        <v/>
      </c>
      <c r="D21" s="58" t="inlineStr">
        <is>
          <t>Y% of the scenario FX cost locked at the plan rate (hedge cost ignored).</t>
        </is>
      </c>
    </row>
    <row r="22">
      <c r="A22" s="6" t="inlineStr">
        <is>
          <t>C.  Pass through price increase</t>
        </is>
      </c>
      <c r="B22" s="57" t="n">
        <v>0.06</v>
      </c>
      <c r="C22" s="29">
        <f>$B$14*((1+B22)*(1-B22*$B$16)-1)+$B$15*B22*$B$16</f>
        <v/>
      </c>
      <c r="D22" s="58" t="inlineStr">
        <is>
          <t>Z% price rise on scenario revenue, less the volume lost at price elasticity; COGS falls with volume.</t>
        </is>
      </c>
    </row>
    <row r="24">
      <c r="A24" s="46" t="inlineStr">
        <is>
          <t>Combined lever impact</t>
        </is>
      </c>
      <c r="C24" s="28">
        <f>SUM(C20:C22)</f>
        <v/>
      </c>
    </row>
    <row r="25">
      <c r="A25" s="21" t="inlineStr">
        <is>
          <t>Scenario GP after levers</t>
        </is>
      </c>
      <c r="C25" s="29">
        <f>B7+C24</f>
        <v/>
      </c>
    </row>
    <row r="26">
      <c r="A26" s="21" t="inlineStr">
        <is>
          <t>Residual vs plan</t>
        </is>
      </c>
      <c r="C26" s="29">
        <f>C25-B8</f>
        <v/>
      </c>
    </row>
    <row r="27">
      <c r="A27" s="21" t="inlineStr">
        <is>
          <t>Gap closed?</t>
        </is>
      </c>
      <c r="C27" s="59">
        <f>IF(C26&gt;=0,"YES — gap closed","NO — shortfall remaining")</f>
        <v/>
      </c>
    </row>
    <row r="29">
      <c r="A29" s="2" t="inlineStr">
        <is>
          <t>Tip: levers are shown standalone (second-order interactions are small and ignored). Combine them until Residual vs plan turns green.</t>
        </is>
      </c>
    </row>
    <row r="30"/>
  </sheetData>
  <mergeCells count="5">
    <mergeCell ref="A2:F2"/>
    <mergeCell ref="A1:F1"/>
    <mergeCell ref="A18:F18"/>
    <mergeCell ref="A4:F4"/>
    <mergeCell ref="A29:F30"/>
  </mergeCells>
  <conditionalFormatting sqref="B9">
    <cfRule type="cellIs" priority="1" operator="lessThan" dxfId="2">
      <formula>0</formula>
    </cfRule>
  </conditionalFormatting>
  <conditionalFormatting sqref="C26">
    <cfRule type="cellIs" priority="2" operator="lessThan" dxfId="3">
      <formula>0</formula>
    </cfRule>
    <cfRule type="cellIs" priority="3" operator="greaterThanOrEqual" dxfId="4">
      <formula>0</formula>
    </cfRule>
  </conditionalFormatting>
  <conditionalFormatting sqref="C27">
    <cfRule type="expression" priority="4" dxfId="2">
      <formula>ISNUMBER(SEARCH("NO",C27))</formula>
    </cfRule>
    <cfRule type="expression" priority="5" dxfId="5">
      <formula>ISNUMBER(SEARCH("YES",C27))</formula>
    </cfRule>
  </conditionalFormatting>
  <dataValidations count="1">
    <dataValidation sqref="B5" showDropDown="0" showInputMessage="0" showErrorMessage="0" allowBlank="0" type="list">
      <formula1>"Base,Moderate,Severe"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2026-07-21T22:03:51Z</dcterms:created>
  <dcterms:modified xsi:type="dcterms:W3CDTF">2026-07-21T22:03:51Z</dcterms:modified>
</cp:coreProperties>
</file>